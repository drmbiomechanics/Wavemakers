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mes\Godot games\Wavemaker\Wavemaker\misc\"/>
    </mc:Choice>
  </mc:AlternateContent>
  <xr:revisionPtr revIDLastSave="0" documentId="13_ncr:1_{78C06C29-82F7-4C7F-B1CA-7D2E5AE04B78}" xr6:coauthVersionLast="47" xr6:coauthVersionMax="47" xr10:uidLastSave="{00000000-0000-0000-0000-000000000000}"/>
  <bookViews>
    <workbookView xWindow="-108" yWindow="-108" windowWidth="41496" windowHeight="16776" xr2:uid="{6CFC75FB-014E-4938-89FE-D6061439285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Sheet3!$E$1:$I$1004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" i="1" l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4" i="1"/>
  <c r="AL15" i="1"/>
  <c r="AL3" i="1"/>
  <c r="AL4" i="1"/>
  <c r="AL5" i="1"/>
  <c r="AL2" i="1"/>
  <c r="AK3" i="1"/>
  <c r="AK4" i="1"/>
  <c r="AK5" i="1"/>
  <c r="AK2" i="1"/>
  <c r="AJ3" i="1"/>
  <c r="AJ4" i="1"/>
  <c r="AJ5" i="1"/>
  <c r="AJ2" i="1"/>
  <c r="F23" i="4"/>
  <c r="F20" i="4"/>
  <c r="D21" i="4"/>
  <c r="C21" i="4"/>
  <c r="B21" i="4"/>
  <c r="W762" i="2"/>
  <c r="W763" i="2"/>
  <c r="W764" i="2" s="1"/>
  <c r="W765" i="2" s="1"/>
  <c r="W766" i="2" s="1"/>
  <c r="W767" i="2" s="1"/>
  <c r="W768" i="2" s="1"/>
  <c r="W769" i="2" s="1"/>
  <c r="W770" i="2" s="1"/>
  <c r="W771" i="2" s="1"/>
  <c r="W772" i="2" s="1"/>
  <c r="W773" i="2" s="1"/>
  <c r="W774" i="2" s="1"/>
  <c r="W775" i="2" s="1"/>
  <c r="W776" i="2" s="1"/>
  <c r="W777" i="2" s="1"/>
  <c r="W778" i="2" s="1"/>
  <c r="W779" i="2" s="1"/>
  <c r="W780" i="2" s="1"/>
  <c r="W781" i="2" s="1"/>
  <c r="W782" i="2" s="1"/>
  <c r="W783" i="2" s="1"/>
  <c r="W784" i="2" s="1"/>
  <c r="W785" i="2" s="1"/>
  <c r="W786" i="2" s="1"/>
  <c r="W787" i="2" s="1"/>
  <c r="W788" i="2" s="1"/>
  <c r="W789" i="2" s="1"/>
  <c r="W790" i="2" s="1"/>
  <c r="W791" i="2" s="1"/>
  <c r="W792" i="2" s="1"/>
  <c r="W793" i="2" s="1"/>
  <c r="W794" i="2" s="1"/>
  <c r="W795" i="2" s="1"/>
  <c r="W796" i="2" s="1"/>
  <c r="W797" i="2" s="1"/>
  <c r="W798" i="2" s="1"/>
  <c r="W799" i="2" s="1"/>
  <c r="W800" i="2" s="1"/>
  <c r="W801" i="2" s="1"/>
  <c r="W802" i="2" s="1"/>
  <c r="W744" i="2"/>
  <c r="W745" i="2" s="1"/>
  <c r="W746" i="2" s="1"/>
  <c r="W747" i="2" s="1"/>
  <c r="W748" i="2" s="1"/>
  <c r="W749" i="2" s="1"/>
  <c r="W750" i="2" s="1"/>
  <c r="W751" i="2" s="1"/>
  <c r="W752" i="2" s="1"/>
  <c r="W753" i="2" s="1"/>
  <c r="W754" i="2" s="1"/>
  <c r="W755" i="2" s="1"/>
  <c r="W756" i="2" s="1"/>
  <c r="W757" i="2" s="1"/>
  <c r="W758" i="2" s="1"/>
  <c r="W759" i="2" s="1"/>
  <c r="W760" i="2" s="1"/>
  <c r="W761" i="2" s="1"/>
  <c r="W721" i="2"/>
  <c r="W722" i="2" s="1"/>
  <c r="W723" i="2" s="1"/>
  <c r="W724" i="2" s="1"/>
  <c r="W725" i="2" s="1"/>
  <c r="W726" i="2" s="1"/>
  <c r="W727" i="2" s="1"/>
  <c r="W728" i="2" s="1"/>
  <c r="W729" i="2" s="1"/>
  <c r="W730" i="2" s="1"/>
  <c r="W731" i="2" s="1"/>
  <c r="W732" i="2" s="1"/>
  <c r="W733" i="2" s="1"/>
  <c r="W734" i="2" s="1"/>
  <c r="W735" i="2" s="1"/>
  <c r="W736" i="2" s="1"/>
  <c r="W737" i="2" s="1"/>
  <c r="W738" i="2" s="1"/>
  <c r="W739" i="2" s="1"/>
  <c r="W740" i="2" s="1"/>
  <c r="W741" i="2" s="1"/>
  <c r="W742" i="2" s="1"/>
  <c r="W743" i="2" s="1"/>
  <c r="W703" i="2"/>
  <c r="W704" i="2" s="1"/>
  <c r="W705" i="2" s="1"/>
  <c r="W706" i="2" s="1"/>
  <c r="W707" i="2" s="1"/>
  <c r="W708" i="2" s="1"/>
  <c r="W709" i="2" s="1"/>
  <c r="W710" i="2" s="1"/>
  <c r="W711" i="2" s="1"/>
  <c r="W712" i="2" s="1"/>
  <c r="W713" i="2" s="1"/>
  <c r="W714" i="2" s="1"/>
  <c r="W715" i="2" s="1"/>
  <c r="W716" i="2" s="1"/>
  <c r="W717" i="2" s="1"/>
  <c r="W718" i="2" s="1"/>
  <c r="W719" i="2" s="1"/>
  <c r="W720" i="2" s="1"/>
  <c r="W5" i="2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W691" i="2" s="1"/>
  <c r="W692" i="2" s="1"/>
  <c r="W693" i="2" s="1"/>
  <c r="W694" i="2" s="1"/>
  <c r="W695" i="2" s="1"/>
  <c r="W696" i="2" s="1"/>
  <c r="W697" i="2" s="1"/>
  <c r="W698" i="2" s="1"/>
  <c r="W699" i="2" s="1"/>
  <c r="W700" i="2" s="1"/>
  <c r="W701" i="2" s="1"/>
  <c r="W702" i="2" s="1"/>
  <c r="W4" i="2"/>
  <c r="W3" i="2"/>
  <c r="A2" i="4"/>
  <c r="B2" i="4"/>
  <c r="C2" i="4"/>
  <c r="D2" i="4"/>
  <c r="E2" i="4"/>
  <c r="F2" i="4"/>
  <c r="A3" i="4"/>
  <c r="B3" i="4"/>
  <c r="C3" i="4"/>
  <c r="D3" i="4"/>
  <c r="E3" i="4"/>
  <c r="F3" i="4"/>
  <c r="A4" i="4"/>
  <c r="B4" i="4"/>
  <c r="C4" i="4"/>
  <c r="D4" i="4"/>
  <c r="E4" i="4"/>
  <c r="F4" i="4"/>
  <c r="A5" i="4"/>
  <c r="B5" i="4"/>
  <c r="C5" i="4"/>
  <c r="D5" i="4"/>
  <c r="E5" i="4"/>
  <c r="F5" i="4"/>
  <c r="A6" i="4"/>
  <c r="B6" i="4"/>
  <c r="C6" i="4"/>
  <c r="D6" i="4"/>
  <c r="E6" i="4"/>
  <c r="F6" i="4"/>
  <c r="B1" i="4"/>
  <c r="C1" i="4"/>
  <c r="D1" i="4"/>
  <c r="E1" i="4"/>
  <c r="F1" i="4"/>
  <c r="A1" i="4"/>
  <c r="T3" i="2"/>
  <c r="F2" i="1"/>
  <c r="S3" i="2"/>
  <c r="U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T16" i="1" s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T30" i="1" s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T44" i="1" s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T58" i="1" s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" i="1"/>
  <c r="T3" i="1"/>
  <c r="T59" i="1"/>
  <c r="T73" i="1"/>
  <c r="T74" i="1"/>
  <c r="M3" i="1"/>
  <c r="F3" i="1" s="1"/>
  <c r="Q3" i="1"/>
  <c r="G16" i="1" s="1"/>
  <c r="D103" i="1"/>
  <c r="T103" i="1" s="1"/>
  <c r="D104" i="1"/>
  <c r="D105" i="1"/>
  <c r="D106" i="1"/>
  <c r="D107" i="1"/>
  <c r="D108" i="1"/>
  <c r="D109" i="1"/>
  <c r="D110" i="1"/>
  <c r="D111" i="1"/>
  <c r="D112" i="1"/>
  <c r="D113" i="1"/>
  <c r="D114" i="1"/>
  <c r="D115" i="1"/>
  <c r="T115" i="1" s="1"/>
  <c r="D116" i="1"/>
  <c r="D117" i="1"/>
  <c r="T117" i="1" s="1"/>
  <c r="D118" i="1"/>
  <c r="D119" i="1"/>
  <c r="D120" i="1"/>
  <c r="D121" i="1"/>
  <c r="D122" i="1"/>
  <c r="D123" i="1"/>
  <c r="D124" i="1"/>
  <c r="D125" i="1"/>
  <c r="D126" i="1"/>
  <c r="D127" i="1"/>
  <c r="D128" i="1"/>
  <c r="D129" i="1"/>
  <c r="T129" i="1" s="1"/>
  <c r="D130" i="1"/>
  <c r="D131" i="1"/>
  <c r="T131" i="1" s="1"/>
  <c r="D132" i="1"/>
  <c r="D133" i="1"/>
  <c r="D134" i="1"/>
  <c r="T134" i="1" s="1"/>
  <c r="D135" i="1"/>
  <c r="D136" i="1"/>
  <c r="D137" i="1"/>
  <c r="D138" i="1"/>
  <c r="T138" i="1" s="1"/>
  <c r="D139" i="1"/>
  <c r="D140" i="1"/>
  <c r="D141" i="1"/>
  <c r="D142" i="1"/>
  <c r="D143" i="1"/>
  <c r="T143" i="1" s="1"/>
  <c r="D144" i="1"/>
  <c r="D145" i="1"/>
  <c r="T145" i="1" s="1"/>
  <c r="D146" i="1"/>
  <c r="D147" i="1"/>
  <c r="T147" i="1" s="1"/>
  <c r="D148" i="1"/>
  <c r="D149" i="1"/>
  <c r="D150" i="1"/>
  <c r="D151" i="1"/>
  <c r="D152" i="1"/>
  <c r="D153" i="1"/>
  <c r="D154" i="1"/>
  <c r="D155" i="1"/>
  <c r="D156" i="1"/>
  <c r="D157" i="1"/>
  <c r="T157" i="1" s="1"/>
  <c r="D158" i="1"/>
  <c r="T158" i="1" s="1"/>
  <c r="D159" i="1"/>
  <c r="T159" i="1" s="1"/>
  <c r="D160" i="1"/>
  <c r="D161" i="1"/>
  <c r="D162" i="1"/>
  <c r="D163" i="1"/>
  <c r="T163" i="1" s="1"/>
  <c r="D164" i="1"/>
  <c r="D165" i="1"/>
  <c r="D166" i="1"/>
  <c r="D167" i="1"/>
  <c r="D168" i="1"/>
  <c r="D169" i="1"/>
  <c r="D170" i="1"/>
  <c r="D171" i="1"/>
  <c r="T171" i="1" s="1"/>
  <c r="D172" i="1"/>
  <c r="D173" i="1"/>
  <c r="T173" i="1" s="1"/>
  <c r="D174" i="1"/>
  <c r="D175" i="1"/>
  <c r="D176" i="1"/>
  <c r="D177" i="1"/>
  <c r="D178" i="1"/>
  <c r="D179" i="1"/>
  <c r="D180" i="1"/>
  <c r="D181" i="1"/>
  <c r="D182" i="1"/>
  <c r="D183" i="1"/>
  <c r="D184" i="1"/>
  <c r="D185" i="1"/>
  <c r="T185" i="1" s="1"/>
  <c r="D186" i="1"/>
  <c r="D187" i="1"/>
  <c r="T187" i="1" s="1"/>
  <c r="D188" i="1"/>
  <c r="D189" i="1"/>
  <c r="D190" i="1"/>
  <c r="D191" i="1"/>
  <c r="D192" i="1"/>
  <c r="D193" i="1"/>
  <c r="D194" i="1"/>
  <c r="T194" i="1" s="1"/>
  <c r="D195" i="1"/>
  <c r="T195" i="1" s="1"/>
  <c r="D196" i="1"/>
  <c r="T196" i="1" s="1"/>
  <c r="D197" i="1"/>
  <c r="D198" i="1"/>
  <c r="D199" i="1"/>
  <c r="T199" i="1" s="1"/>
  <c r="D200" i="1"/>
  <c r="D201" i="1"/>
  <c r="T201" i="1" s="1"/>
  <c r="D202" i="1"/>
  <c r="T202" i="1" s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T17" i="1" s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T31" i="1" s="1"/>
  <c r="D32" i="1"/>
  <c r="D33" i="1"/>
  <c r="D34" i="1"/>
  <c r="T34" i="1" s="1"/>
  <c r="D35" i="1"/>
  <c r="D36" i="1"/>
  <c r="D37" i="1"/>
  <c r="D38" i="1"/>
  <c r="D39" i="1"/>
  <c r="D40" i="1"/>
  <c r="D41" i="1"/>
  <c r="D42" i="1"/>
  <c r="D43" i="1"/>
  <c r="D44" i="1"/>
  <c r="D45" i="1"/>
  <c r="T45" i="1" s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T87" i="1" s="1"/>
  <c r="D88" i="1"/>
  <c r="D89" i="1"/>
  <c r="D90" i="1"/>
  <c r="D91" i="1"/>
  <c r="T91" i="1" s="1"/>
  <c r="D92" i="1"/>
  <c r="D93" i="1"/>
  <c r="D94" i="1"/>
  <c r="D95" i="1"/>
  <c r="D96" i="1"/>
  <c r="D97" i="1"/>
  <c r="D98" i="1"/>
  <c r="D99" i="1"/>
  <c r="D100" i="1"/>
  <c r="D101" i="1"/>
  <c r="T101" i="1" s="1"/>
  <c r="D102" i="1"/>
  <c r="D3" i="1"/>
  <c r="U3" i="2" l="1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U103" i="2" s="1"/>
  <c r="T72" i="1"/>
  <c r="T120" i="1"/>
  <c r="T8" i="1"/>
  <c r="T71" i="1"/>
  <c r="T2" i="1"/>
  <c r="T77" i="1"/>
  <c r="T70" i="1"/>
  <c r="T132" i="1"/>
  <c r="T100" i="1"/>
  <c r="T190" i="1"/>
  <c r="T69" i="1"/>
  <c r="T13" i="1"/>
  <c r="T86" i="1"/>
  <c r="T82" i="1"/>
  <c r="T68" i="1"/>
  <c r="T12" i="1"/>
  <c r="T198" i="1"/>
  <c r="T184" i="1"/>
  <c r="T156" i="1"/>
  <c r="T142" i="1"/>
  <c r="T128" i="1"/>
  <c r="T114" i="1"/>
  <c r="T88" i="1"/>
  <c r="T60" i="1"/>
  <c r="T46" i="1"/>
  <c r="T32" i="1"/>
  <c r="T18" i="1"/>
  <c r="T148" i="1"/>
  <c r="T81" i="1"/>
  <c r="T67" i="1"/>
  <c r="T39" i="1"/>
  <c r="T25" i="1"/>
  <c r="T11" i="1"/>
  <c r="T66" i="1"/>
  <c r="T10" i="1"/>
  <c r="T65" i="1"/>
  <c r="T9" i="1"/>
  <c r="T92" i="1"/>
  <c r="T64" i="1"/>
  <c r="T36" i="1"/>
  <c r="T186" i="1"/>
  <c r="T172" i="1"/>
  <c r="T144" i="1"/>
  <c r="T130" i="1"/>
  <c r="T116" i="1"/>
  <c r="T63" i="1"/>
  <c r="T49" i="1"/>
  <c r="T35" i="1"/>
  <c r="T21" i="1"/>
  <c r="T7" i="1"/>
  <c r="T193" i="1"/>
  <c r="T151" i="1"/>
  <c r="T137" i="1"/>
  <c r="T90" i="1"/>
  <c r="T48" i="1"/>
  <c r="T20" i="1"/>
  <c r="T6" i="1"/>
  <c r="T192" i="1"/>
  <c r="T136" i="1"/>
  <c r="T122" i="1"/>
  <c r="T108" i="1"/>
  <c r="T80" i="1"/>
  <c r="T38" i="1"/>
  <c r="T79" i="1"/>
  <c r="T37" i="1"/>
  <c r="T78" i="1"/>
  <c r="T50" i="1"/>
  <c r="T22" i="1"/>
  <c r="T200" i="1"/>
  <c r="T89" i="1"/>
  <c r="T75" i="1"/>
  <c r="T61" i="1"/>
  <c r="T47" i="1"/>
  <c r="T33" i="1"/>
  <c r="T19" i="1"/>
  <c r="T5" i="1"/>
  <c r="T191" i="1"/>
  <c r="T135" i="1"/>
  <c r="T121" i="1"/>
  <c r="T99" i="1"/>
  <c r="T85" i="1"/>
  <c r="T57" i="1"/>
  <c r="T43" i="1"/>
  <c r="T29" i="1"/>
  <c r="T102" i="1"/>
  <c r="T176" i="1"/>
  <c r="T162" i="1"/>
  <c r="T106" i="1"/>
  <c r="T98" i="1"/>
  <c r="T84" i="1"/>
  <c r="T56" i="1"/>
  <c r="T42" i="1"/>
  <c r="T28" i="1"/>
  <c r="T52" i="1"/>
  <c r="T93" i="1"/>
  <c r="T51" i="1"/>
  <c r="T189" i="1"/>
  <c r="T175" i="1"/>
  <c r="T161" i="1"/>
  <c r="T133" i="1"/>
  <c r="T119" i="1"/>
  <c r="T105" i="1"/>
  <c r="T97" i="1"/>
  <c r="T83" i="1"/>
  <c r="T55" i="1"/>
  <c r="T41" i="1"/>
  <c r="T160" i="1"/>
  <c r="T118" i="1"/>
  <c r="T96" i="1"/>
  <c r="T54" i="1"/>
  <c r="T40" i="1"/>
  <c r="T170" i="1"/>
  <c r="T15" i="1"/>
  <c r="T14" i="1"/>
  <c r="F143" i="1"/>
  <c r="T169" i="1"/>
  <c r="F101" i="1"/>
  <c r="T112" i="1"/>
  <c r="T181" i="1"/>
  <c r="T167" i="1"/>
  <c r="T139" i="1"/>
  <c r="T27" i="1"/>
  <c r="T26" i="1"/>
  <c r="T53" i="1"/>
  <c r="F144" i="1"/>
  <c r="T183" i="1"/>
  <c r="T113" i="1"/>
  <c r="T168" i="1"/>
  <c r="T125" i="1"/>
  <c r="G113" i="1"/>
  <c r="T110" i="1"/>
  <c r="F48" i="1"/>
  <c r="G99" i="1"/>
  <c r="T179" i="1"/>
  <c r="T165" i="1"/>
  <c r="T123" i="1"/>
  <c r="T109" i="1"/>
  <c r="T95" i="1"/>
  <c r="F47" i="1"/>
  <c r="G85" i="1"/>
  <c r="T178" i="1"/>
  <c r="T164" i="1"/>
  <c r="T150" i="1"/>
  <c r="T94" i="1"/>
  <c r="T24" i="1"/>
  <c r="F145" i="1"/>
  <c r="G169" i="1"/>
  <c r="T197" i="1"/>
  <c r="T141" i="1"/>
  <c r="T182" i="1"/>
  <c r="T126" i="1"/>
  <c r="F89" i="1"/>
  <c r="T152" i="1"/>
  <c r="F46" i="1"/>
  <c r="T149" i="1"/>
  <c r="T107" i="1"/>
  <c r="T23" i="1"/>
  <c r="F184" i="1"/>
  <c r="G197" i="1"/>
  <c r="G183" i="1"/>
  <c r="F132" i="1"/>
  <c r="F102" i="1"/>
  <c r="T127" i="1"/>
  <c r="T154" i="1"/>
  <c r="G127" i="1"/>
  <c r="T111" i="1"/>
  <c r="T180" i="1"/>
  <c r="T124" i="1"/>
  <c r="F187" i="1"/>
  <c r="G71" i="1"/>
  <c r="F186" i="1"/>
  <c r="F45" i="1"/>
  <c r="G57" i="1"/>
  <c r="G155" i="1"/>
  <c r="T155" i="1"/>
  <c r="G141" i="1"/>
  <c r="T140" i="1"/>
  <c r="F90" i="1"/>
  <c r="T153" i="1"/>
  <c r="T166" i="1"/>
  <c r="T177" i="1"/>
  <c r="F185" i="1"/>
  <c r="F4" i="1"/>
  <c r="G43" i="1"/>
  <c r="G29" i="1"/>
  <c r="T188" i="1"/>
  <c r="T174" i="1"/>
  <c r="T146" i="1"/>
  <c r="T104" i="1"/>
  <c r="T76" i="1"/>
  <c r="T62" i="1"/>
  <c r="G15" i="1"/>
  <c r="T4" i="1"/>
  <c r="G168" i="1"/>
  <c r="G14" i="1"/>
  <c r="G195" i="1"/>
  <c r="G181" i="1"/>
  <c r="G167" i="1"/>
  <c r="G153" i="1"/>
  <c r="G139" i="1"/>
  <c r="G125" i="1"/>
  <c r="G111" i="1"/>
  <c r="G97" i="1"/>
  <c r="G83" i="1"/>
  <c r="G69" i="1"/>
  <c r="G55" i="1"/>
  <c r="G41" i="1"/>
  <c r="G27" i="1"/>
  <c r="G13" i="1"/>
  <c r="G182" i="1"/>
  <c r="G140" i="1"/>
  <c r="G28" i="1"/>
  <c r="G152" i="1"/>
  <c r="G124" i="1"/>
  <c r="G26" i="1"/>
  <c r="G193" i="1"/>
  <c r="G137" i="1"/>
  <c r="G25" i="1"/>
  <c r="F33" i="1"/>
  <c r="G192" i="1"/>
  <c r="G178" i="1"/>
  <c r="G164" i="1"/>
  <c r="G150" i="1"/>
  <c r="G136" i="1"/>
  <c r="G122" i="1"/>
  <c r="G108" i="1"/>
  <c r="G94" i="1"/>
  <c r="G80" i="1"/>
  <c r="G66" i="1"/>
  <c r="G52" i="1"/>
  <c r="G38" i="1"/>
  <c r="G24" i="1"/>
  <c r="G10" i="1"/>
  <c r="G196" i="1"/>
  <c r="G154" i="1"/>
  <c r="G70" i="1"/>
  <c r="G166" i="1"/>
  <c r="G138" i="1"/>
  <c r="G12" i="1"/>
  <c r="F34" i="1"/>
  <c r="G151" i="1"/>
  <c r="G123" i="1"/>
  <c r="G11" i="1"/>
  <c r="F172" i="1"/>
  <c r="F76" i="1"/>
  <c r="G191" i="1"/>
  <c r="G121" i="1"/>
  <c r="G107" i="1"/>
  <c r="G79" i="1"/>
  <c r="G65" i="1"/>
  <c r="G51" i="1"/>
  <c r="G37" i="1"/>
  <c r="G23" i="1"/>
  <c r="G9" i="1"/>
  <c r="F171" i="1"/>
  <c r="F128" i="1"/>
  <c r="F75" i="1"/>
  <c r="F31" i="1"/>
  <c r="G190" i="1"/>
  <c r="G176" i="1"/>
  <c r="G162" i="1"/>
  <c r="G148" i="1"/>
  <c r="G134" i="1"/>
  <c r="G120" i="1"/>
  <c r="G106" i="1"/>
  <c r="G92" i="1"/>
  <c r="G78" i="1"/>
  <c r="G64" i="1"/>
  <c r="G50" i="1"/>
  <c r="G36" i="1"/>
  <c r="G22" i="1"/>
  <c r="G8" i="1"/>
  <c r="G56" i="1"/>
  <c r="G194" i="1"/>
  <c r="G54" i="1"/>
  <c r="F131" i="1"/>
  <c r="G67" i="1"/>
  <c r="G93" i="1"/>
  <c r="F170" i="1"/>
  <c r="F118" i="1"/>
  <c r="F74" i="1"/>
  <c r="F20" i="1"/>
  <c r="G2" i="1"/>
  <c r="G189" i="1"/>
  <c r="G175" i="1"/>
  <c r="G161" i="1"/>
  <c r="G147" i="1"/>
  <c r="G133" i="1"/>
  <c r="G119" i="1"/>
  <c r="G105" i="1"/>
  <c r="G91" i="1"/>
  <c r="G77" i="1"/>
  <c r="G63" i="1"/>
  <c r="G49" i="1"/>
  <c r="G35" i="1"/>
  <c r="G21" i="1"/>
  <c r="G7" i="1"/>
  <c r="G126" i="1"/>
  <c r="G82" i="1"/>
  <c r="F88" i="1"/>
  <c r="G179" i="1"/>
  <c r="G95" i="1"/>
  <c r="F173" i="1"/>
  <c r="F129" i="1"/>
  <c r="G177" i="1"/>
  <c r="F202" i="1"/>
  <c r="F160" i="1"/>
  <c r="F117" i="1"/>
  <c r="F73" i="1"/>
  <c r="F19" i="1"/>
  <c r="G202" i="1"/>
  <c r="G188" i="1"/>
  <c r="G174" i="1"/>
  <c r="G160" i="1"/>
  <c r="G146" i="1"/>
  <c r="G132" i="1"/>
  <c r="G118" i="1"/>
  <c r="G104" i="1"/>
  <c r="G90" i="1"/>
  <c r="H90" i="1" s="1"/>
  <c r="I90" i="1" s="1"/>
  <c r="G76" i="1"/>
  <c r="G62" i="1"/>
  <c r="G48" i="1"/>
  <c r="G34" i="1"/>
  <c r="G20" i="1"/>
  <c r="G6" i="1"/>
  <c r="G42" i="1"/>
  <c r="G68" i="1"/>
  <c r="G53" i="1"/>
  <c r="G135" i="1"/>
  <c r="F201" i="1"/>
  <c r="F159" i="1"/>
  <c r="F116" i="1"/>
  <c r="F62" i="1"/>
  <c r="F18" i="1"/>
  <c r="G201" i="1"/>
  <c r="G187" i="1"/>
  <c r="H187" i="1" s="1"/>
  <c r="I187" i="1" s="1"/>
  <c r="G173" i="1"/>
  <c r="G159" i="1"/>
  <c r="G145" i="1"/>
  <c r="G131" i="1"/>
  <c r="G117" i="1"/>
  <c r="G103" i="1"/>
  <c r="G89" i="1"/>
  <c r="G75" i="1"/>
  <c r="G61" i="1"/>
  <c r="G47" i="1"/>
  <c r="G33" i="1"/>
  <c r="G19" i="1"/>
  <c r="G5" i="1"/>
  <c r="G112" i="1"/>
  <c r="G180" i="1"/>
  <c r="G40" i="1"/>
  <c r="G39" i="1"/>
  <c r="G149" i="1"/>
  <c r="F200" i="1"/>
  <c r="F158" i="1"/>
  <c r="F115" i="1"/>
  <c r="F61" i="1"/>
  <c r="F17" i="1"/>
  <c r="G200" i="1"/>
  <c r="G186" i="1"/>
  <c r="G172" i="1"/>
  <c r="G158" i="1"/>
  <c r="G144" i="1"/>
  <c r="G130" i="1"/>
  <c r="G116" i="1"/>
  <c r="G102" i="1"/>
  <c r="G88" i="1"/>
  <c r="G74" i="1"/>
  <c r="G60" i="1"/>
  <c r="G46" i="1"/>
  <c r="G32" i="1"/>
  <c r="G18" i="1"/>
  <c r="G4" i="1"/>
  <c r="H4" i="1" s="1"/>
  <c r="I4" i="1" s="1"/>
  <c r="G84" i="1"/>
  <c r="G96" i="1"/>
  <c r="G81" i="1"/>
  <c r="F87" i="1"/>
  <c r="G163" i="1"/>
  <c r="F199" i="1"/>
  <c r="F157" i="1"/>
  <c r="F104" i="1"/>
  <c r="F60" i="1"/>
  <c r="F6" i="1"/>
  <c r="G199" i="1"/>
  <c r="H199" i="1" s="1"/>
  <c r="I199" i="1" s="1"/>
  <c r="G185" i="1"/>
  <c r="G171" i="1"/>
  <c r="G157" i="1"/>
  <c r="G143" i="1"/>
  <c r="G129" i="1"/>
  <c r="G115" i="1"/>
  <c r="G101" i="1"/>
  <c r="G87" i="1"/>
  <c r="G73" i="1"/>
  <c r="G59" i="1"/>
  <c r="G45" i="1"/>
  <c r="H45" i="1" s="1"/>
  <c r="I45" i="1" s="1"/>
  <c r="G31" i="1"/>
  <c r="G17" i="1"/>
  <c r="G3" i="1"/>
  <c r="H3" i="1" s="1"/>
  <c r="I3" i="1" s="1"/>
  <c r="G98" i="1"/>
  <c r="G110" i="1"/>
  <c r="F174" i="1"/>
  <c r="G165" i="1"/>
  <c r="G109" i="1"/>
  <c r="F130" i="1"/>
  <c r="F32" i="1"/>
  <c r="F188" i="1"/>
  <c r="F146" i="1"/>
  <c r="F103" i="1"/>
  <c r="F59" i="1"/>
  <c r="F5" i="1"/>
  <c r="G198" i="1"/>
  <c r="G184" i="1"/>
  <c r="G170" i="1"/>
  <c r="G156" i="1"/>
  <c r="G142" i="1"/>
  <c r="G128" i="1"/>
  <c r="G114" i="1"/>
  <c r="G100" i="1"/>
  <c r="G86" i="1"/>
  <c r="G72" i="1"/>
  <c r="G58" i="1"/>
  <c r="G44" i="1"/>
  <c r="G30" i="1"/>
  <c r="F156" i="1"/>
  <c r="F72" i="1"/>
  <c r="F127" i="1"/>
  <c r="F99" i="1"/>
  <c r="F57" i="1"/>
  <c r="F182" i="1"/>
  <c r="F154" i="1"/>
  <c r="F112" i="1"/>
  <c r="F70" i="1"/>
  <c r="F14" i="1"/>
  <c r="F198" i="1"/>
  <c r="F142" i="1"/>
  <c r="F100" i="1"/>
  <c r="F86" i="1"/>
  <c r="F30" i="1"/>
  <c r="F197" i="1"/>
  <c r="F141" i="1"/>
  <c r="F113" i="1"/>
  <c r="H113" i="1" s="1"/>
  <c r="I113" i="1" s="1"/>
  <c r="F85" i="1"/>
  <c r="F71" i="1"/>
  <c r="F43" i="1"/>
  <c r="F29" i="1"/>
  <c r="F15" i="1"/>
  <c r="F196" i="1"/>
  <c r="F168" i="1"/>
  <c r="F140" i="1"/>
  <c r="F126" i="1"/>
  <c r="F98" i="1"/>
  <c r="F84" i="1"/>
  <c r="F56" i="1"/>
  <c r="F42" i="1"/>
  <c r="F28" i="1"/>
  <c r="F195" i="1"/>
  <c r="F181" i="1"/>
  <c r="F167" i="1"/>
  <c r="F153" i="1"/>
  <c r="F139" i="1"/>
  <c r="F125" i="1"/>
  <c r="F111" i="1"/>
  <c r="F97" i="1"/>
  <c r="F83" i="1"/>
  <c r="F69" i="1"/>
  <c r="F55" i="1"/>
  <c r="F41" i="1"/>
  <c r="F27" i="1"/>
  <c r="F13" i="1"/>
  <c r="F155" i="1"/>
  <c r="F194" i="1"/>
  <c r="F180" i="1"/>
  <c r="F124" i="1"/>
  <c r="F110" i="1"/>
  <c r="F96" i="1"/>
  <c r="F82" i="1"/>
  <c r="F68" i="1"/>
  <c r="F54" i="1"/>
  <c r="F40" i="1"/>
  <c r="F26" i="1"/>
  <c r="F12" i="1"/>
  <c r="F193" i="1"/>
  <c r="F179" i="1"/>
  <c r="F165" i="1"/>
  <c r="F151" i="1"/>
  <c r="F137" i="1"/>
  <c r="F123" i="1"/>
  <c r="F109" i="1"/>
  <c r="H109" i="1" s="1"/>
  <c r="I109" i="1" s="1"/>
  <c r="F95" i="1"/>
  <c r="F81" i="1"/>
  <c r="F67" i="1"/>
  <c r="F53" i="1"/>
  <c r="F39" i="1"/>
  <c r="F25" i="1"/>
  <c r="F11" i="1"/>
  <c r="F58" i="1"/>
  <c r="F169" i="1"/>
  <c r="F166" i="1"/>
  <c r="F192" i="1"/>
  <c r="F150" i="1"/>
  <c r="F108" i="1"/>
  <c r="F66" i="1"/>
  <c r="F24" i="1"/>
  <c r="F191" i="1"/>
  <c r="F177" i="1"/>
  <c r="F163" i="1"/>
  <c r="F149" i="1"/>
  <c r="F135" i="1"/>
  <c r="F121" i="1"/>
  <c r="F107" i="1"/>
  <c r="F93" i="1"/>
  <c r="F79" i="1"/>
  <c r="F65" i="1"/>
  <c r="F51" i="1"/>
  <c r="F37" i="1"/>
  <c r="F23" i="1"/>
  <c r="F9" i="1"/>
  <c r="F114" i="1"/>
  <c r="F16" i="1"/>
  <c r="F183" i="1"/>
  <c r="F138" i="1"/>
  <c r="F164" i="1"/>
  <c r="F122" i="1"/>
  <c r="F80" i="1"/>
  <c r="F38" i="1"/>
  <c r="F190" i="1"/>
  <c r="F176" i="1"/>
  <c r="F162" i="1"/>
  <c r="F148" i="1"/>
  <c r="F134" i="1"/>
  <c r="F120" i="1"/>
  <c r="F106" i="1"/>
  <c r="F92" i="1"/>
  <c r="F78" i="1"/>
  <c r="F64" i="1"/>
  <c r="F50" i="1"/>
  <c r="F36" i="1"/>
  <c r="F22" i="1"/>
  <c r="F8" i="1"/>
  <c r="F44" i="1"/>
  <c r="F152" i="1"/>
  <c r="F178" i="1"/>
  <c r="F136" i="1"/>
  <c r="F94" i="1"/>
  <c r="F52" i="1"/>
  <c r="F10" i="1"/>
  <c r="F189" i="1"/>
  <c r="F175" i="1"/>
  <c r="F161" i="1"/>
  <c r="F147" i="1"/>
  <c r="F133" i="1"/>
  <c r="F119" i="1"/>
  <c r="F105" i="1"/>
  <c r="F91" i="1"/>
  <c r="F77" i="1"/>
  <c r="F63" i="1"/>
  <c r="F49" i="1"/>
  <c r="F35" i="1"/>
  <c r="F21" i="1"/>
  <c r="F7" i="1"/>
  <c r="T104" i="2" l="1"/>
  <c r="U104" i="2"/>
  <c r="T105" i="2"/>
  <c r="U4" i="2"/>
  <c r="H185" i="1"/>
  <c r="I185" i="1" s="1"/>
  <c r="H132" i="1"/>
  <c r="I132" i="1" s="1"/>
  <c r="H46" i="1"/>
  <c r="I46" i="1" s="1"/>
  <c r="H43" i="1"/>
  <c r="I43" i="1" s="1"/>
  <c r="H143" i="1"/>
  <c r="I143" i="1" s="1"/>
  <c r="H186" i="1"/>
  <c r="I186" i="1" s="1"/>
  <c r="H184" i="1"/>
  <c r="I184" i="1" s="1"/>
  <c r="H89" i="1"/>
  <c r="I89" i="1" s="1"/>
  <c r="H102" i="1"/>
  <c r="I102" i="1" s="1"/>
  <c r="H145" i="1"/>
  <c r="I145" i="1" s="1"/>
  <c r="H47" i="1"/>
  <c r="I47" i="1" s="1"/>
  <c r="H81" i="1"/>
  <c r="I81" i="1" s="1"/>
  <c r="H120" i="1"/>
  <c r="I120" i="1" s="1"/>
  <c r="H101" i="1"/>
  <c r="I101" i="1" s="1"/>
  <c r="H144" i="1"/>
  <c r="I144" i="1" s="1"/>
  <c r="H48" i="1"/>
  <c r="I48" i="1" s="1"/>
  <c r="H146" i="1"/>
  <c r="I146" i="1" s="1"/>
  <c r="H77" i="1"/>
  <c r="I77" i="1" s="1"/>
  <c r="H173" i="1"/>
  <c r="I173" i="1" s="1"/>
  <c r="H76" i="1"/>
  <c r="I76" i="1" s="1"/>
  <c r="H63" i="1"/>
  <c r="I63" i="1" s="1"/>
  <c r="H61" i="1"/>
  <c r="I61" i="1" s="1"/>
  <c r="H157" i="1"/>
  <c r="I157" i="1" s="1"/>
  <c r="H200" i="1"/>
  <c r="I200" i="1" s="1"/>
  <c r="H104" i="1"/>
  <c r="I104" i="1" s="1"/>
  <c r="H18" i="1"/>
  <c r="I18" i="1" s="1"/>
  <c r="H75" i="1"/>
  <c r="I75" i="1" s="1"/>
  <c r="H118" i="1"/>
  <c r="I118" i="1" s="1"/>
  <c r="H170" i="1"/>
  <c r="I170" i="1" s="1"/>
  <c r="H32" i="1"/>
  <c r="I32" i="1" s="1"/>
  <c r="H95" i="1"/>
  <c r="I95" i="1" s="1"/>
  <c r="H160" i="1"/>
  <c r="I160" i="1" s="1"/>
  <c r="H117" i="1"/>
  <c r="I117" i="1" s="1"/>
  <c r="H202" i="1"/>
  <c r="I202" i="1" s="1"/>
  <c r="H73" i="1"/>
  <c r="I73" i="1" s="1"/>
  <c r="H87" i="1"/>
  <c r="I87" i="1" s="1"/>
  <c r="H159" i="1"/>
  <c r="I159" i="1" s="1"/>
  <c r="H163" i="1"/>
  <c r="I163" i="1" s="1"/>
  <c r="H130" i="1"/>
  <c r="I130" i="1" s="1"/>
  <c r="H34" i="1"/>
  <c r="I34" i="1" s="1"/>
  <c r="H17" i="1"/>
  <c r="I17" i="1" s="1"/>
  <c r="H59" i="1"/>
  <c r="I59" i="1" s="1"/>
  <c r="H6" i="1"/>
  <c r="I6" i="1" s="1"/>
  <c r="H166" i="1"/>
  <c r="I166" i="1" s="1"/>
  <c r="H201" i="1"/>
  <c r="I201" i="1" s="1"/>
  <c r="H115" i="1"/>
  <c r="I115" i="1" s="1"/>
  <c r="H158" i="1"/>
  <c r="I158" i="1" s="1"/>
  <c r="H5" i="1"/>
  <c r="I5" i="1" s="1"/>
  <c r="H172" i="1"/>
  <c r="I172" i="1" s="1"/>
  <c r="H19" i="1"/>
  <c r="I19" i="1" s="1"/>
  <c r="H33" i="1"/>
  <c r="I33" i="1" s="1"/>
  <c r="H22" i="1"/>
  <c r="I22" i="1" s="1"/>
  <c r="H106" i="1"/>
  <c r="I106" i="1" s="1"/>
  <c r="H175" i="1"/>
  <c r="I175" i="1" s="1"/>
  <c r="H103" i="1"/>
  <c r="I103" i="1" s="1"/>
  <c r="H189" i="1"/>
  <c r="I189" i="1" s="1"/>
  <c r="H74" i="1"/>
  <c r="I74" i="1" s="1"/>
  <c r="H62" i="1"/>
  <c r="I62" i="1" s="1"/>
  <c r="H147" i="1"/>
  <c r="I147" i="1" s="1"/>
  <c r="H190" i="1"/>
  <c r="I190" i="1" s="1"/>
  <c r="H20" i="1"/>
  <c r="I20" i="1" s="1"/>
  <c r="H152" i="1"/>
  <c r="I152" i="1" s="1"/>
  <c r="H133" i="1"/>
  <c r="I133" i="1" s="1"/>
  <c r="H176" i="1"/>
  <c r="I176" i="1" s="1"/>
  <c r="H161" i="1"/>
  <c r="I161" i="1" s="1"/>
  <c r="H8" i="1"/>
  <c r="I8" i="1" s="1"/>
  <c r="H174" i="1"/>
  <c r="I174" i="1" s="1"/>
  <c r="H116" i="1"/>
  <c r="I116" i="1" s="1"/>
  <c r="H129" i="1"/>
  <c r="I129" i="1" s="1"/>
  <c r="H131" i="1"/>
  <c r="I131" i="1" s="1"/>
  <c r="H7" i="1"/>
  <c r="I7" i="1" s="1"/>
  <c r="H2" i="1"/>
  <c r="I2" i="1" s="1"/>
  <c r="H50" i="1"/>
  <c r="I50" i="1" s="1"/>
  <c r="H21" i="1"/>
  <c r="I21" i="1" s="1"/>
  <c r="H64" i="1"/>
  <c r="I64" i="1" s="1"/>
  <c r="H35" i="1"/>
  <c r="I35" i="1" s="1"/>
  <c r="H78" i="1"/>
  <c r="I78" i="1" s="1"/>
  <c r="H60" i="1"/>
  <c r="I60" i="1" s="1"/>
  <c r="H49" i="1"/>
  <c r="I49" i="1" s="1"/>
  <c r="H92" i="1"/>
  <c r="I92" i="1" s="1"/>
  <c r="H128" i="1"/>
  <c r="I128" i="1" s="1"/>
  <c r="H119" i="1"/>
  <c r="I119" i="1" s="1"/>
  <c r="H9" i="1"/>
  <c r="I9" i="1" s="1"/>
  <c r="H171" i="1"/>
  <c r="I171" i="1" s="1"/>
  <c r="H31" i="1"/>
  <c r="I31" i="1" s="1"/>
  <c r="H88" i="1"/>
  <c r="I88" i="1" s="1"/>
  <c r="H188" i="1"/>
  <c r="I188" i="1" s="1"/>
  <c r="H80" i="1"/>
  <c r="I80" i="1" s="1"/>
  <c r="H134" i="1"/>
  <c r="I134" i="1" s="1"/>
  <c r="H162" i="1"/>
  <c r="I162" i="1" s="1"/>
  <c r="H148" i="1"/>
  <c r="I148" i="1" s="1"/>
  <c r="H36" i="1"/>
  <c r="I36" i="1" s="1"/>
  <c r="H91" i="1"/>
  <c r="I91" i="1" s="1"/>
  <c r="H105" i="1"/>
  <c r="I105" i="1" s="1"/>
  <c r="H30" i="1"/>
  <c r="I30" i="1" s="1"/>
  <c r="H114" i="1"/>
  <c r="I114" i="1" s="1"/>
  <c r="H69" i="1"/>
  <c r="I69" i="1" s="1"/>
  <c r="H192" i="1"/>
  <c r="I192" i="1" s="1"/>
  <c r="H125" i="1"/>
  <c r="I125" i="1" s="1"/>
  <c r="H126" i="1"/>
  <c r="I126" i="1" s="1"/>
  <c r="H179" i="1"/>
  <c r="I179" i="1" s="1"/>
  <c r="H139" i="1"/>
  <c r="I139" i="1" s="1"/>
  <c r="H142" i="1"/>
  <c r="I142" i="1" s="1"/>
  <c r="H38" i="1"/>
  <c r="I38" i="1" s="1"/>
  <c r="H153" i="1"/>
  <c r="I153" i="1" s="1"/>
  <c r="H194" i="1"/>
  <c r="I194" i="1" s="1"/>
  <c r="H15" i="1"/>
  <c r="I15" i="1" s="1"/>
  <c r="H156" i="1"/>
  <c r="I156" i="1" s="1"/>
  <c r="H167" i="1"/>
  <c r="I167" i="1" s="1"/>
  <c r="H29" i="1"/>
  <c r="I29" i="1" s="1"/>
  <c r="H27" i="1"/>
  <c r="I27" i="1" s="1"/>
  <c r="H41" i="1"/>
  <c r="I41" i="1" s="1"/>
  <c r="H55" i="1"/>
  <c r="I55" i="1" s="1"/>
  <c r="H164" i="1"/>
  <c r="I164" i="1" s="1"/>
  <c r="H70" i="1"/>
  <c r="I70" i="1" s="1"/>
  <c r="H178" i="1"/>
  <c r="I178" i="1" s="1"/>
  <c r="H137" i="1"/>
  <c r="I137" i="1" s="1"/>
  <c r="H83" i="1"/>
  <c r="I83" i="1" s="1"/>
  <c r="H141" i="1"/>
  <c r="I141" i="1" s="1"/>
  <c r="H181" i="1"/>
  <c r="I181" i="1" s="1"/>
  <c r="H123" i="1"/>
  <c r="I123" i="1" s="1"/>
  <c r="H151" i="1"/>
  <c r="I151" i="1" s="1"/>
  <c r="H155" i="1"/>
  <c r="I155" i="1" s="1"/>
  <c r="H65" i="1"/>
  <c r="I65" i="1" s="1"/>
  <c r="H180" i="1"/>
  <c r="I180" i="1" s="1"/>
  <c r="H40" i="1"/>
  <c r="I40" i="1" s="1"/>
  <c r="H165" i="1"/>
  <c r="I165" i="1" s="1"/>
  <c r="H111" i="1"/>
  <c r="I111" i="1" s="1"/>
  <c r="H112" i="1"/>
  <c r="I112" i="1" s="1"/>
  <c r="H197" i="1"/>
  <c r="I197" i="1" s="1"/>
  <c r="H13" i="1"/>
  <c r="I13" i="1" s="1"/>
  <c r="H14" i="1"/>
  <c r="I14" i="1" s="1"/>
  <c r="H71" i="1"/>
  <c r="I71" i="1" s="1"/>
  <c r="H79" i="1"/>
  <c r="I79" i="1" s="1"/>
  <c r="H93" i="1"/>
  <c r="I93" i="1" s="1"/>
  <c r="H28" i="1"/>
  <c r="I28" i="1" s="1"/>
  <c r="H10" i="1"/>
  <c r="I10" i="1" s="1"/>
  <c r="H42" i="1"/>
  <c r="I42" i="1" s="1"/>
  <c r="H54" i="1"/>
  <c r="I54" i="1" s="1"/>
  <c r="H98" i="1"/>
  <c r="I98" i="1" s="1"/>
  <c r="H149" i="1"/>
  <c r="I149" i="1" s="1"/>
  <c r="H52" i="1"/>
  <c r="I52" i="1" s="1"/>
  <c r="H124" i="1"/>
  <c r="I124" i="1" s="1"/>
  <c r="H84" i="1"/>
  <c r="I84" i="1" s="1"/>
  <c r="H85" i="1"/>
  <c r="I85" i="1" s="1"/>
  <c r="H198" i="1"/>
  <c r="I198" i="1" s="1"/>
  <c r="H96" i="1"/>
  <c r="I96" i="1" s="1"/>
  <c r="H97" i="1"/>
  <c r="I97" i="1" s="1"/>
  <c r="H16" i="1"/>
  <c r="I16" i="1" s="1"/>
  <c r="H193" i="1"/>
  <c r="I193" i="1" s="1"/>
  <c r="H191" i="1"/>
  <c r="I191" i="1" s="1"/>
  <c r="H94" i="1"/>
  <c r="I94" i="1" s="1"/>
  <c r="H11" i="1"/>
  <c r="I11" i="1" s="1"/>
  <c r="H196" i="1"/>
  <c r="I196" i="1" s="1"/>
  <c r="H140" i="1"/>
  <c r="I140" i="1" s="1"/>
  <c r="H58" i="1"/>
  <c r="I58" i="1" s="1"/>
  <c r="H23" i="1"/>
  <c r="I23" i="1" s="1"/>
  <c r="H26" i="1"/>
  <c r="I26" i="1" s="1"/>
  <c r="H39" i="1"/>
  <c r="I39" i="1" s="1"/>
  <c r="H154" i="1"/>
  <c r="I154" i="1" s="1"/>
  <c r="H72" i="1"/>
  <c r="I72" i="1" s="1"/>
  <c r="H24" i="1"/>
  <c r="I24" i="1" s="1"/>
  <c r="H135" i="1"/>
  <c r="I135" i="1" s="1"/>
  <c r="H66" i="1"/>
  <c r="I66" i="1" s="1"/>
  <c r="H99" i="1"/>
  <c r="I99" i="1" s="1"/>
  <c r="H127" i="1"/>
  <c r="I127" i="1" s="1"/>
  <c r="H44" i="1"/>
  <c r="I44" i="1" s="1"/>
  <c r="H108" i="1"/>
  <c r="I108" i="1" s="1"/>
  <c r="H68" i="1"/>
  <c r="I68" i="1" s="1"/>
  <c r="H122" i="1"/>
  <c r="I122" i="1" s="1"/>
  <c r="H110" i="1"/>
  <c r="I110" i="1" s="1"/>
  <c r="H136" i="1"/>
  <c r="I136" i="1" s="1"/>
  <c r="H53" i="1"/>
  <c r="I53" i="1" s="1"/>
  <c r="H168" i="1"/>
  <c r="I168" i="1" s="1"/>
  <c r="H169" i="1"/>
  <c r="I169" i="1" s="1"/>
  <c r="H86" i="1"/>
  <c r="I86" i="1" s="1"/>
  <c r="H195" i="1"/>
  <c r="I195" i="1" s="1"/>
  <c r="H107" i="1"/>
  <c r="I107" i="1" s="1"/>
  <c r="H121" i="1"/>
  <c r="I121" i="1" s="1"/>
  <c r="H56" i="1"/>
  <c r="I56" i="1" s="1"/>
  <c r="H57" i="1"/>
  <c r="I57" i="1" s="1"/>
  <c r="H177" i="1"/>
  <c r="I177" i="1" s="1"/>
  <c r="H12" i="1"/>
  <c r="I12" i="1" s="1"/>
  <c r="H25" i="1"/>
  <c r="I25" i="1" s="1"/>
  <c r="H37" i="1"/>
  <c r="I37" i="1" s="1"/>
  <c r="H82" i="1"/>
  <c r="I82" i="1" s="1"/>
  <c r="H51" i="1"/>
  <c r="I51" i="1" s="1"/>
  <c r="H138" i="1"/>
  <c r="I138" i="1" s="1"/>
  <c r="H150" i="1"/>
  <c r="I150" i="1" s="1"/>
  <c r="H67" i="1"/>
  <c r="I67" i="1" s="1"/>
  <c r="H182" i="1"/>
  <c r="I182" i="1" s="1"/>
  <c r="H183" i="1"/>
  <c r="I183" i="1" s="1"/>
  <c r="H100" i="1"/>
  <c r="I100" i="1" s="1"/>
  <c r="U105" i="2" l="1"/>
  <c r="T106" i="2"/>
  <c r="U5" i="2"/>
  <c r="U106" i="2" l="1"/>
  <c r="T107" i="2"/>
  <c r="U6" i="2"/>
  <c r="U107" i="2" l="1"/>
  <c r="T108" i="2"/>
  <c r="U7" i="2"/>
  <c r="U108" i="2" l="1"/>
  <c r="T109" i="2"/>
  <c r="U8" i="2"/>
  <c r="T110" i="2" l="1"/>
  <c r="U109" i="2"/>
  <c r="U9" i="2"/>
  <c r="U110" i="2" l="1"/>
  <c r="T111" i="2"/>
  <c r="U10" i="2"/>
  <c r="U111" i="2" l="1"/>
  <c r="T112" i="2"/>
  <c r="U11" i="2"/>
  <c r="T113" i="2" l="1"/>
  <c r="U112" i="2"/>
  <c r="U12" i="2"/>
  <c r="U113" i="2" l="1"/>
  <c r="T114" i="2"/>
  <c r="U13" i="2"/>
  <c r="T115" i="2" l="1"/>
  <c r="U114" i="2"/>
  <c r="U14" i="2"/>
  <c r="T116" i="2" l="1"/>
  <c r="U115" i="2"/>
  <c r="U15" i="2"/>
  <c r="T117" i="2" l="1"/>
  <c r="U116" i="2"/>
  <c r="U16" i="2"/>
  <c r="U117" i="2" l="1"/>
  <c r="T118" i="2"/>
  <c r="U17" i="2"/>
  <c r="U118" i="2" l="1"/>
  <c r="T119" i="2"/>
  <c r="U18" i="2"/>
  <c r="U119" i="2" l="1"/>
  <c r="T120" i="2"/>
  <c r="U19" i="2"/>
  <c r="U120" i="2" l="1"/>
  <c r="T121" i="2"/>
  <c r="U20" i="2"/>
  <c r="T122" i="2" l="1"/>
  <c r="U121" i="2"/>
  <c r="U21" i="2"/>
  <c r="T123" i="2" l="1"/>
  <c r="U122" i="2"/>
  <c r="U22" i="2"/>
  <c r="T124" i="2" l="1"/>
  <c r="U123" i="2"/>
  <c r="U23" i="2"/>
  <c r="U124" i="2" l="1"/>
  <c r="T125" i="2"/>
  <c r="U24" i="2"/>
  <c r="U125" i="2" l="1"/>
  <c r="T126" i="2"/>
  <c r="U25" i="2"/>
  <c r="T127" i="2" l="1"/>
  <c r="U126" i="2"/>
  <c r="U26" i="2"/>
  <c r="U127" i="2" l="1"/>
  <c r="T128" i="2"/>
  <c r="U27" i="2"/>
  <c r="U128" i="2" l="1"/>
  <c r="T129" i="2"/>
  <c r="U28" i="2"/>
  <c r="U129" i="2" l="1"/>
  <c r="T130" i="2"/>
  <c r="U29" i="2"/>
  <c r="T131" i="2" l="1"/>
  <c r="U130" i="2"/>
  <c r="U30" i="2"/>
  <c r="U131" i="2" l="1"/>
  <c r="T132" i="2"/>
  <c r="U31" i="2"/>
  <c r="U132" i="2" l="1"/>
  <c r="T133" i="2"/>
  <c r="U32" i="2"/>
  <c r="T134" i="2" l="1"/>
  <c r="U133" i="2"/>
  <c r="U33" i="2"/>
  <c r="T135" i="2" l="1"/>
  <c r="U134" i="2"/>
  <c r="U34" i="2"/>
  <c r="U135" i="2" l="1"/>
  <c r="T136" i="2"/>
  <c r="U35" i="2"/>
  <c r="U136" i="2" l="1"/>
  <c r="T137" i="2"/>
  <c r="U36" i="2"/>
  <c r="T138" i="2" l="1"/>
  <c r="U137" i="2"/>
  <c r="U37" i="2"/>
  <c r="U138" i="2" l="1"/>
  <c r="T139" i="2"/>
  <c r="U38" i="2"/>
  <c r="U139" i="2" l="1"/>
  <c r="T140" i="2"/>
  <c r="U39" i="2"/>
  <c r="U140" i="2" l="1"/>
  <c r="T141" i="2"/>
  <c r="U40" i="2"/>
  <c r="T142" i="2" l="1"/>
  <c r="U141" i="2"/>
  <c r="U41" i="2"/>
  <c r="U142" i="2" l="1"/>
  <c r="T143" i="2"/>
  <c r="U42" i="2"/>
  <c r="T144" i="2" l="1"/>
  <c r="U143" i="2"/>
  <c r="U43" i="2"/>
  <c r="T145" i="2" l="1"/>
  <c r="U144" i="2"/>
  <c r="U44" i="2"/>
  <c r="U145" i="2" l="1"/>
  <c r="T146" i="2"/>
  <c r="U45" i="2"/>
  <c r="U146" i="2" l="1"/>
  <c r="T147" i="2"/>
  <c r="U46" i="2"/>
  <c r="U147" i="2" l="1"/>
  <c r="T148" i="2"/>
  <c r="U47" i="2"/>
  <c r="U148" i="2" l="1"/>
  <c r="T149" i="2"/>
  <c r="U48" i="2"/>
  <c r="U149" i="2" l="1"/>
  <c r="T150" i="2"/>
  <c r="U49" i="2"/>
  <c r="U150" i="2" l="1"/>
  <c r="T151" i="2"/>
  <c r="U50" i="2"/>
  <c r="T152" i="2" l="1"/>
  <c r="U151" i="2"/>
  <c r="U51" i="2"/>
  <c r="U152" i="2" l="1"/>
  <c r="T153" i="2"/>
  <c r="U52" i="2"/>
  <c r="U153" i="2" l="1"/>
  <c r="T154" i="2"/>
  <c r="U53" i="2"/>
  <c r="U154" i="2" l="1"/>
  <c r="T155" i="2"/>
  <c r="U54" i="2"/>
  <c r="U155" i="2" l="1"/>
  <c r="T156" i="2"/>
  <c r="U55" i="2"/>
  <c r="U156" i="2" l="1"/>
  <c r="T157" i="2"/>
  <c r="U56" i="2"/>
  <c r="U157" i="2" l="1"/>
  <c r="T158" i="2"/>
  <c r="U57" i="2"/>
  <c r="T159" i="2" l="1"/>
  <c r="U158" i="2"/>
  <c r="U58" i="2"/>
  <c r="U159" i="2" l="1"/>
  <c r="T160" i="2"/>
  <c r="U59" i="2"/>
  <c r="U160" i="2" l="1"/>
  <c r="T161" i="2"/>
  <c r="U60" i="2"/>
  <c r="U161" i="2" l="1"/>
  <c r="T162" i="2"/>
  <c r="U61" i="2"/>
  <c r="U162" i="2" l="1"/>
  <c r="T163" i="2"/>
  <c r="U62" i="2"/>
  <c r="U163" i="2" l="1"/>
  <c r="T164" i="2"/>
  <c r="U63" i="2"/>
  <c r="U164" i="2" l="1"/>
  <c r="T165" i="2"/>
  <c r="U64" i="2"/>
  <c r="T166" i="2" l="1"/>
  <c r="U165" i="2"/>
  <c r="U65" i="2"/>
  <c r="U166" i="2" l="1"/>
  <c r="T167" i="2"/>
  <c r="U66" i="2"/>
  <c r="U167" i="2" l="1"/>
  <c r="T168" i="2"/>
  <c r="U67" i="2"/>
  <c r="U168" i="2" l="1"/>
  <c r="T169" i="2"/>
  <c r="U68" i="2"/>
  <c r="U169" i="2" l="1"/>
  <c r="T170" i="2"/>
  <c r="U69" i="2"/>
  <c r="U170" i="2" l="1"/>
  <c r="T171" i="2"/>
  <c r="U70" i="2"/>
  <c r="T172" i="2" l="1"/>
  <c r="U171" i="2"/>
  <c r="U71" i="2"/>
  <c r="T173" i="2" l="1"/>
  <c r="U172" i="2"/>
  <c r="U72" i="2"/>
  <c r="U173" i="2" l="1"/>
  <c r="T174" i="2"/>
  <c r="U73" i="2"/>
  <c r="U174" i="2" l="1"/>
  <c r="T175" i="2"/>
  <c r="U74" i="2"/>
  <c r="U175" i="2" l="1"/>
  <c r="T176" i="2"/>
  <c r="U75" i="2"/>
  <c r="U176" i="2" l="1"/>
  <c r="T177" i="2"/>
  <c r="U76" i="2"/>
  <c r="U177" i="2" l="1"/>
  <c r="T178" i="2"/>
  <c r="U77" i="2"/>
  <c r="U178" i="2" l="1"/>
  <c r="T179" i="2"/>
  <c r="U78" i="2"/>
  <c r="T180" i="2" l="1"/>
  <c r="U179" i="2"/>
  <c r="U79" i="2"/>
  <c r="U180" i="2" l="1"/>
  <c r="T181" i="2"/>
  <c r="U80" i="2"/>
  <c r="U181" i="2" l="1"/>
  <c r="T182" i="2"/>
  <c r="U81" i="2"/>
  <c r="U182" i="2" l="1"/>
  <c r="T183" i="2"/>
  <c r="U82" i="2"/>
  <c r="U183" i="2" l="1"/>
  <c r="T184" i="2"/>
  <c r="U83" i="2"/>
  <c r="U184" i="2" l="1"/>
  <c r="T185" i="2"/>
  <c r="U84" i="2"/>
  <c r="U185" i="2" l="1"/>
  <c r="T186" i="2"/>
  <c r="U85" i="2"/>
  <c r="T187" i="2" l="1"/>
  <c r="U186" i="2"/>
  <c r="U86" i="2"/>
  <c r="U187" i="2" l="1"/>
  <c r="T188" i="2"/>
  <c r="U87" i="2"/>
  <c r="U188" i="2" l="1"/>
  <c r="T189" i="2"/>
  <c r="U88" i="2"/>
  <c r="U189" i="2" l="1"/>
  <c r="T190" i="2"/>
  <c r="U89" i="2"/>
  <c r="U190" i="2" l="1"/>
  <c r="T191" i="2"/>
  <c r="U90" i="2"/>
  <c r="U191" i="2" l="1"/>
  <c r="T192" i="2"/>
  <c r="U91" i="2"/>
  <c r="U192" i="2" l="1"/>
  <c r="T193" i="2"/>
  <c r="U92" i="2"/>
  <c r="T194" i="2" l="1"/>
  <c r="U193" i="2"/>
  <c r="U93" i="2"/>
  <c r="U194" i="2" l="1"/>
  <c r="T195" i="2"/>
  <c r="U94" i="2"/>
  <c r="U195" i="2" l="1"/>
  <c r="T196" i="2"/>
  <c r="U95" i="2"/>
  <c r="U196" i="2" l="1"/>
  <c r="T197" i="2"/>
  <c r="U96" i="2"/>
  <c r="U197" i="2" l="1"/>
  <c r="T198" i="2"/>
  <c r="U97" i="2"/>
  <c r="U198" i="2" l="1"/>
  <c r="T199" i="2"/>
  <c r="U98" i="2"/>
  <c r="T200" i="2" l="1"/>
  <c r="U199" i="2"/>
  <c r="U99" i="2"/>
  <c r="T201" i="2" l="1"/>
  <c r="U200" i="2"/>
  <c r="U100" i="2"/>
  <c r="U201" i="2" l="1"/>
  <c r="T202" i="2"/>
  <c r="U102" i="2"/>
  <c r="U101" i="2"/>
  <c r="U202" i="2" l="1"/>
  <c r="T203" i="2"/>
  <c r="U203" i="2" l="1"/>
  <c r="T204" i="2"/>
  <c r="T205" i="2" l="1"/>
  <c r="U204" i="2"/>
  <c r="U205" i="2" l="1"/>
  <c r="T206" i="2"/>
  <c r="T207" i="2" l="1"/>
  <c r="U206" i="2"/>
  <c r="T208" i="2" l="1"/>
  <c r="U207" i="2"/>
  <c r="U208" i="2" l="1"/>
  <c r="T209" i="2"/>
  <c r="U209" i="2" l="1"/>
  <c r="T210" i="2"/>
  <c r="U210" i="2" l="1"/>
  <c r="T211" i="2"/>
  <c r="T212" i="2" l="1"/>
  <c r="U211" i="2"/>
  <c r="U212" i="2" l="1"/>
  <c r="T213" i="2"/>
  <c r="T214" i="2" l="1"/>
  <c r="U213" i="2"/>
  <c r="U214" i="2" l="1"/>
  <c r="T215" i="2"/>
  <c r="T216" i="2" l="1"/>
  <c r="U215" i="2"/>
  <c r="T217" i="2" l="1"/>
  <c r="U216" i="2"/>
  <c r="U217" i="2" l="1"/>
  <c r="T218" i="2"/>
  <c r="U218" i="2" l="1"/>
  <c r="T219" i="2"/>
  <c r="U219" i="2" l="1"/>
  <c r="T220" i="2"/>
  <c r="U220" i="2" l="1"/>
  <c r="T221" i="2"/>
  <c r="U221" i="2" l="1"/>
  <c r="T222" i="2"/>
  <c r="T223" i="2" l="1"/>
  <c r="U222" i="2"/>
  <c r="U223" i="2" l="1"/>
  <c r="T224" i="2"/>
  <c r="U224" i="2" l="1"/>
  <c r="T225" i="2"/>
  <c r="U225" i="2" l="1"/>
  <c r="T226" i="2"/>
  <c r="U226" i="2" l="1"/>
  <c r="T227" i="2"/>
  <c r="T228" i="2" l="1"/>
  <c r="U227" i="2"/>
  <c r="T229" i="2" l="1"/>
  <c r="U228" i="2"/>
  <c r="T230" i="2" l="1"/>
  <c r="U229" i="2"/>
  <c r="U230" i="2" l="1"/>
  <c r="T231" i="2"/>
  <c r="T232" i="2" l="1"/>
  <c r="U231" i="2"/>
  <c r="T233" i="2" l="1"/>
  <c r="U232" i="2"/>
  <c r="T234" i="2" l="1"/>
  <c r="U233" i="2"/>
  <c r="T235" i="2" l="1"/>
  <c r="U234" i="2"/>
  <c r="U235" i="2" l="1"/>
  <c r="T236" i="2"/>
  <c r="T237" i="2" l="1"/>
  <c r="U236" i="2"/>
  <c r="T238" i="2" l="1"/>
  <c r="U237" i="2"/>
  <c r="U238" i="2" l="1"/>
  <c r="T239" i="2"/>
  <c r="T240" i="2" l="1"/>
  <c r="U239" i="2"/>
  <c r="U240" i="2" l="1"/>
  <c r="T241" i="2"/>
  <c r="U241" i="2" l="1"/>
  <c r="T242" i="2"/>
  <c r="T243" i="2" l="1"/>
  <c r="U242" i="2"/>
  <c r="U243" i="2" l="1"/>
  <c r="T244" i="2"/>
  <c r="U244" i="2" l="1"/>
  <c r="T245" i="2"/>
  <c r="U245" i="2" l="1"/>
  <c r="T246" i="2"/>
  <c r="T247" i="2" l="1"/>
  <c r="U246" i="2"/>
  <c r="U247" i="2" l="1"/>
  <c r="T248" i="2"/>
  <c r="T249" i="2" l="1"/>
  <c r="U248" i="2"/>
  <c r="U249" i="2" l="1"/>
  <c r="T250" i="2"/>
  <c r="U250" i="2" l="1"/>
  <c r="T251" i="2"/>
  <c r="U251" i="2" l="1"/>
  <c r="T252" i="2"/>
  <c r="U252" i="2" l="1"/>
  <c r="T253" i="2"/>
  <c r="T254" i="2" l="1"/>
  <c r="U253" i="2"/>
  <c r="U254" i="2" l="1"/>
  <c r="T255" i="2"/>
  <c r="T256" i="2" l="1"/>
  <c r="U255" i="2"/>
  <c r="U256" i="2" l="1"/>
  <c r="T257" i="2"/>
  <c r="T258" i="2" l="1"/>
  <c r="U257" i="2"/>
  <c r="T259" i="2" l="1"/>
  <c r="U258" i="2"/>
  <c r="T260" i="2" l="1"/>
  <c r="U259" i="2"/>
  <c r="T261" i="2" l="1"/>
  <c r="U260" i="2"/>
  <c r="U261" i="2" l="1"/>
  <c r="T262" i="2"/>
  <c r="U262" i="2" l="1"/>
  <c r="T263" i="2"/>
  <c r="T264" i="2" l="1"/>
  <c r="U263" i="2"/>
  <c r="U264" i="2" l="1"/>
  <c r="T265" i="2"/>
  <c r="U265" i="2" l="1"/>
  <c r="T266" i="2"/>
  <c r="U266" i="2" l="1"/>
  <c r="T267" i="2"/>
  <c r="T268" i="2" l="1"/>
  <c r="U267" i="2"/>
  <c r="U268" i="2" l="1"/>
  <c r="T269" i="2"/>
  <c r="T270" i="2" l="1"/>
  <c r="U269" i="2"/>
  <c r="U270" i="2" l="1"/>
  <c r="T271" i="2"/>
  <c r="U271" i="2" l="1"/>
  <c r="T272" i="2"/>
  <c r="U272" i="2" l="1"/>
  <c r="T273" i="2"/>
  <c r="U273" i="2" l="1"/>
  <c r="T274" i="2"/>
  <c r="T275" i="2" l="1"/>
  <c r="U274" i="2"/>
  <c r="U275" i="2" l="1"/>
  <c r="T276" i="2"/>
  <c r="T277" i="2" l="1"/>
  <c r="U276" i="2"/>
  <c r="U277" i="2" l="1"/>
  <c r="T278" i="2"/>
  <c r="T279" i="2" l="1"/>
  <c r="U278" i="2"/>
  <c r="U279" i="2" l="1"/>
  <c r="T280" i="2"/>
  <c r="T281" i="2" l="1"/>
  <c r="U280" i="2"/>
  <c r="U281" i="2" l="1"/>
  <c r="T282" i="2"/>
  <c r="U282" i="2" l="1"/>
  <c r="T283" i="2"/>
  <c r="U283" i="2" l="1"/>
  <c r="T284" i="2"/>
  <c r="T285" i="2" l="1"/>
  <c r="U284" i="2"/>
  <c r="U285" i="2" l="1"/>
  <c r="T286" i="2"/>
  <c r="T287" i="2" l="1"/>
  <c r="U286" i="2"/>
  <c r="T288" i="2" l="1"/>
  <c r="U287" i="2"/>
  <c r="T289" i="2" l="1"/>
  <c r="U288" i="2"/>
  <c r="U289" i="2" l="1"/>
  <c r="T290" i="2"/>
  <c r="T291" i="2" l="1"/>
  <c r="U290" i="2"/>
  <c r="U291" i="2" l="1"/>
  <c r="T292" i="2"/>
  <c r="T293" i="2" l="1"/>
  <c r="U292" i="2"/>
  <c r="U293" i="2" l="1"/>
  <c r="T294" i="2"/>
  <c r="U294" i="2" l="1"/>
  <c r="T295" i="2"/>
  <c r="U295" i="2" l="1"/>
  <c r="T296" i="2"/>
  <c r="T297" i="2" l="1"/>
  <c r="U296" i="2"/>
  <c r="T298" i="2" l="1"/>
  <c r="U297" i="2"/>
  <c r="U298" i="2" l="1"/>
  <c r="T299" i="2"/>
  <c r="U299" i="2" l="1"/>
  <c r="T300" i="2"/>
  <c r="U300" i="2" l="1"/>
  <c r="T301" i="2"/>
  <c r="U301" i="2" l="1"/>
  <c r="T302" i="2"/>
  <c r="T303" i="2" l="1"/>
  <c r="U302" i="2"/>
  <c r="U303" i="2" l="1"/>
  <c r="T304" i="2"/>
  <c r="U304" i="2" l="1"/>
  <c r="T305" i="2"/>
  <c r="T306" i="2" l="1"/>
  <c r="U305" i="2"/>
  <c r="T307" i="2" l="1"/>
  <c r="U306" i="2"/>
  <c r="T308" i="2" l="1"/>
  <c r="U307" i="2"/>
  <c r="U308" i="2" l="1"/>
  <c r="T309" i="2"/>
  <c r="U309" i="2" l="1"/>
  <c r="T310" i="2"/>
  <c r="T311" i="2" l="1"/>
  <c r="U310" i="2"/>
  <c r="T312" i="2" l="1"/>
  <c r="U311" i="2"/>
  <c r="T313" i="2" l="1"/>
  <c r="U312" i="2"/>
  <c r="U313" i="2" l="1"/>
  <c r="T314" i="2"/>
  <c r="U314" i="2" l="1"/>
  <c r="T315" i="2"/>
  <c r="U315" i="2" l="1"/>
  <c r="T316" i="2"/>
  <c r="T317" i="2" l="1"/>
  <c r="U316" i="2"/>
  <c r="U317" i="2" l="1"/>
  <c r="T318" i="2"/>
  <c r="T319" i="2" l="1"/>
  <c r="U318" i="2"/>
  <c r="T320" i="2" l="1"/>
  <c r="U319" i="2"/>
  <c r="U320" i="2" l="1"/>
  <c r="T321" i="2"/>
  <c r="U321" i="2" l="1"/>
  <c r="T322" i="2"/>
  <c r="T323" i="2" l="1"/>
  <c r="U322" i="2"/>
  <c r="U323" i="2" l="1"/>
  <c r="T324" i="2"/>
  <c r="U324" i="2" l="1"/>
  <c r="T325" i="2"/>
  <c r="U325" i="2" l="1"/>
  <c r="T326" i="2"/>
  <c r="U326" i="2" l="1"/>
  <c r="T327" i="2"/>
  <c r="U327" i="2" l="1"/>
  <c r="T328" i="2"/>
  <c r="T329" i="2" l="1"/>
  <c r="U328" i="2"/>
  <c r="U329" i="2" l="1"/>
  <c r="T330" i="2"/>
  <c r="U330" i="2" l="1"/>
  <c r="T331" i="2"/>
  <c r="U331" i="2" l="1"/>
  <c r="T332" i="2"/>
  <c r="T333" i="2" l="1"/>
  <c r="U332" i="2"/>
  <c r="U333" i="2" l="1"/>
  <c r="T334" i="2"/>
  <c r="U334" i="2" l="1"/>
  <c r="T335" i="2"/>
  <c r="U335" i="2" l="1"/>
  <c r="T336" i="2"/>
  <c r="T337" i="2" l="1"/>
  <c r="U336" i="2"/>
  <c r="T338" i="2" l="1"/>
  <c r="U337" i="2"/>
  <c r="T339" i="2" l="1"/>
  <c r="U338" i="2"/>
  <c r="U339" i="2" l="1"/>
  <c r="T340" i="2"/>
  <c r="U340" i="2" l="1"/>
  <c r="T341" i="2"/>
  <c r="U341" i="2" l="1"/>
  <c r="T342" i="2"/>
  <c r="U342" i="2" l="1"/>
  <c r="T343" i="2"/>
  <c r="U343" i="2" l="1"/>
  <c r="T344" i="2"/>
  <c r="T345" i="2" l="1"/>
  <c r="U344" i="2"/>
  <c r="U345" i="2" l="1"/>
  <c r="T346" i="2"/>
  <c r="U346" i="2" l="1"/>
  <c r="T347" i="2"/>
  <c r="U347" i="2" l="1"/>
  <c r="T348" i="2"/>
  <c r="U348" i="2" l="1"/>
  <c r="T349" i="2"/>
  <c r="T350" i="2" l="1"/>
  <c r="U349" i="2"/>
  <c r="U350" i="2" l="1"/>
  <c r="T351" i="2"/>
  <c r="T352" i="2" l="1"/>
  <c r="U351" i="2"/>
  <c r="T353" i="2" l="1"/>
  <c r="U352" i="2"/>
  <c r="T354" i="2" l="1"/>
  <c r="U353" i="2"/>
  <c r="T355" i="2" l="1"/>
  <c r="U354" i="2"/>
  <c r="T356" i="2" l="1"/>
  <c r="U355" i="2"/>
  <c r="T357" i="2" l="1"/>
  <c r="U356" i="2"/>
  <c r="U357" i="2" l="1"/>
  <c r="T358" i="2"/>
  <c r="T359" i="2" l="1"/>
  <c r="U358" i="2"/>
  <c r="U359" i="2" l="1"/>
  <c r="T360" i="2"/>
  <c r="T361" i="2" l="1"/>
  <c r="U360" i="2"/>
  <c r="T362" i="2" l="1"/>
  <c r="U361" i="2"/>
  <c r="T363" i="2" l="1"/>
  <c r="U362" i="2"/>
  <c r="T364" i="2" l="1"/>
  <c r="U363" i="2"/>
  <c r="U364" i="2" l="1"/>
  <c r="T365" i="2"/>
  <c r="U365" i="2" l="1"/>
  <c r="T366" i="2"/>
  <c r="T367" i="2" l="1"/>
  <c r="U366" i="2"/>
  <c r="T368" i="2" l="1"/>
  <c r="U367" i="2"/>
  <c r="U368" i="2" l="1"/>
  <c r="T369" i="2"/>
  <c r="U369" i="2" l="1"/>
  <c r="T370" i="2"/>
  <c r="U370" i="2" l="1"/>
  <c r="T371" i="2"/>
  <c r="T372" i="2" l="1"/>
  <c r="U371" i="2"/>
  <c r="T373" i="2" l="1"/>
  <c r="U372" i="2"/>
  <c r="U373" i="2" l="1"/>
  <c r="T374" i="2"/>
  <c r="T375" i="2" l="1"/>
  <c r="U374" i="2"/>
  <c r="U375" i="2" l="1"/>
  <c r="T376" i="2"/>
  <c r="U376" i="2" l="1"/>
  <c r="T377" i="2"/>
  <c r="U377" i="2" l="1"/>
  <c r="T378" i="2"/>
  <c r="U378" i="2" l="1"/>
  <c r="T379" i="2"/>
  <c r="T380" i="2" l="1"/>
  <c r="U379" i="2"/>
  <c r="U380" i="2" l="1"/>
  <c r="T381" i="2"/>
  <c r="T382" i="2" l="1"/>
  <c r="U381" i="2"/>
  <c r="T383" i="2" l="1"/>
  <c r="U382" i="2"/>
  <c r="U383" i="2" l="1"/>
  <c r="T384" i="2"/>
  <c r="T385" i="2" l="1"/>
  <c r="U384" i="2"/>
  <c r="U385" i="2" l="1"/>
  <c r="T386" i="2"/>
  <c r="U386" i="2" l="1"/>
  <c r="T387" i="2"/>
  <c r="U387" i="2" l="1"/>
  <c r="T388" i="2"/>
  <c r="T389" i="2" l="1"/>
  <c r="U388" i="2"/>
  <c r="U389" i="2" l="1"/>
  <c r="T390" i="2"/>
  <c r="U390" i="2" l="1"/>
  <c r="T391" i="2"/>
  <c r="U391" i="2" l="1"/>
  <c r="T392" i="2"/>
  <c r="U392" i="2" l="1"/>
  <c r="T393" i="2"/>
  <c r="U393" i="2" l="1"/>
  <c r="T394" i="2"/>
  <c r="T395" i="2" l="1"/>
  <c r="U394" i="2"/>
  <c r="U395" i="2" l="1"/>
  <c r="T396" i="2"/>
  <c r="T397" i="2" l="1"/>
  <c r="U396" i="2"/>
  <c r="U397" i="2" l="1"/>
  <c r="T398" i="2"/>
  <c r="U398" i="2" l="1"/>
  <c r="T399" i="2"/>
  <c r="U399" i="2" l="1"/>
  <c r="T400" i="2"/>
  <c r="U400" i="2" l="1"/>
  <c r="T401" i="2"/>
  <c r="T402" i="2" l="1"/>
  <c r="U401" i="2"/>
  <c r="T403" i="2" l="1"/>
  <c r="U402" i="2"/>
  <c r="U403" i="2" l="1"/>
  <c r="T404" i="2"/>
  <c r="U404" i="2" l="1"/>
  <c r="T405" i="2"/>
  <c r="U405" i="2" l="1"/>
  <c r="T406" i="2"/>
  <c r="U406" i="2" l="1"/>
  <c r="T407" i="2"/>
  <c r="T408" i="2" l="1"/>
  <c r="U407" i="2"/>
  <c r="T409" i="2" l="1"/>
  <c r="U408" i="2"/>
  <c r="T410" i="2" l="1"/>
  <c r="U409" i="2"/>
  <c r="U410" i="2" l="1"/>
  <c r="T411" i="2"/>
  <c r="U411" i="2" l="1"/>
  <c r="T412" i="2"/>
  <c r="U412" i="2" l="1"/>
  <c r="T413" i="2"/>
  <c r="U413" i="2" l="1"/>
  <c r="T414" i="2"/>
  <c r="U414" i="2" l="1"/>
  <c r="T415" i="2"/>
  <c r="T416" i="2" l="1"/>
  <c r="U415" i="2"/>
  <c r="T417" i="2" l="1"/>
  <c r="U416" i="2"/>
  <c r="U417" i="2" l="1"/>
  <c r="T418" i="2"/>
  <c r="U418" i="2" l="1"/>
  <c r="T419" i="2"/>
  <c r="U419" i="2" l="1"/>
  <c r="T420" i="2"/>
  <c r="U420" i="2" l="1"/>
  <c r="T421" i="2"/>
  <c r="U421" i="2" l="1"/>
  <c r="T422" i="2"/>
  <c r="U422" i="2" l="1"/>
  <c r="T423" i="2"/>
  <c r="T424" i="2" l="1"/>
  <c r="U423" i="2"/>
  <c r="U424" i="2" l="1"/>
  <c r="T425" i="2"/>
  <c r="U425" i="2" l="1"/>
  <c r="T426" i="2"/>
  <c r="U426" i="2" l="1"/>
  <c r="T427" i="2"/>
  <c r="U427" i="2" l="1"/>
  <c r="T428" i="2"/>
  <c r="U428" i="2" l="1"/>
  <c r="T429" i="2"/>
  <c r="U429" i="2" l="1"/>
  <c r="T430" i="2"/>
  <c r="U430" i="2" l="1"/>
  <c r="T431" i="2"/>
  <c r="T432" i="2" l="1"/>
  <c r="U431" i="2"/>
  <c r="U432" i="2" l="1"/>
  <c r="T433" i="2"/>
  <c r="U433" i="2" l="1"/>
  <c r="T434" i="2"/>
  <c r="U434" i="2" l="1"/>
  <c r="T435" i="2"/>
  <c r="T436" i="2" l="1"/>
  <c r="U435" i="2"/>
  <c r="U436" i="2" l="1"/>
  <c r="T437" i="2"/>
  <c r="T438" i="2" l="1"/>
  <c r="U437" i="2"/>
  <c r="U438" i="2" l="1"/>
  <c r="T439" i="2"/>
  <c r="U439" i="2" l="1"/>
  <c r="T440" i="2"/>
  <c r="U440" i="2" l="1"/>
  <c r="T441" i="2"/>
  <c r="U441" i="2" l="1"/>
  <c r="T442" i="2"/>
  <c r="U442" i="2" l="1"/>
  <c r="T443" i="2"/>
  <c r="T444" i="2" l="1"/>
  <c r="U443" i="2"/>
  <c r="U444" i="2" l="1"/>
  <c r="T445" i="2"/>
  <c r="T446" i="2" l="1"/>
  <c r="U445" i="2"/>
  <c r="U446" i="2" l="1"/>
  <c r="T447" i="2"/>
  <c r="U447" i="2" l="1"/>
  <c r="T448" i="2"/>
  <c r="T449" i="2" l="1"/>
  <c r="U448" i="2"/>
  <c r="T450" i="2" l="1"/>
  <c r="U449" i="2"/>
  <c r="U450" i="2" l="1"/>
  <c r="T451" i="2"/>
  <c r="T452" i="2" l="1"/>
  <c r="U451" i="2"/>
  <c r="U452" i="2" l="1"/>
  <c r="T453" i="2"/>
  <c r="U453" i="2" l="1"/>
  <c r="T454" i="2"/>
  <c r="U454" i="2" l="1"/>
  <c r="T455" i="2"/>
  <c r="U455" i="2" l="1"/>
  <c r="T456" i="2"/>
  <c r="T457" i="2" l="1"/>
  <c r="U456" i="2"/>
  <c r="U457" i="2" l="1"/>
  <c r="T458" i="2"/>
  <c r="T459" i="2" l="1"/>
  <c r="U458" i="2"/>
  <c r="U459" i="2" l="1"/>
  <c r="T460" i="2"/>
  <c r="U460" i="2" l="1"/>
  <c r="T461" i="2"/>
  <c r="T462" i="2" l="1"/>
  <c r="U461" i="2"/>
  <c r="U462" i="2" l="1"/>
  <c r="T463" i="2"/>
  <c r="U463" i="2" l="1"/>
  <c r="T464" i="2"/>
  <c r="U464" i="2" l="1"/>
  <c r="T465" i="2"/>
  <c r="T466" i="2" l="1"/>
  <c r="U465" i="2"/>
  <c r="U466" i="2" l="1"/>
  <c r="T467" i="2"/>
  <c r="U467" i="2" l="1"/>
  <c r="T468" i="2"/>
  <c r="U468" i="2" l="1"/>
  <c r="T469" i="2"/>
  <c r="U469" i="2" l="1"/>
  <c r="T470" i="2"/>
  <c r="U470" i="2" l="1"/>
  <c r="T471" i="2"/>
  <c r="U471" i="2" l="1"/>
  <c r="T472" i="2"/>
  <c r="T473" i="2" l="1"/>
  <c r="U472" i="2"/>
  <c r="U473" i="2" l="1"/>
  <c r="T474" i="2"/>
  <c r="U474" i="2" l="1"/>
  <c r="T475" i="2"/>
  <c r="U475" i="2" l="1"/>
  <c r="T476" i="2"/>
  <c r="U476" i="2" l="1"/>
  <c r="T477" i="2"/>
  <c r="T478" i="2" l="1"/>
  <c r="U477" i="2"/>
  <c r="U478" i="2" l="1"/>
  <c r="T479" i="2"/>
  <c r="T480" i="2" l="1"/>
  <c r="U479" i="2"/>
  <c r="U480" i="2" l="1"/>
  <c r="T481" i="2"/>
  <c r="T482" i="2" l="1"/>
  <c r="U481" i="2"/>
  <c r="U482" i="2" l="1"/>
  <c r="T483" i="2"/>
  <c r="U483" i="2" l="1"/>
  <c r="T484" i="2"/>
  <c r="T485" i="2" l="1"/>
  <c r="U484" i="2"/>
  <c r="U485" i="2" l="1"/>
  <c r="T486" i="2"/>
  <c r="T487" i="2" l="1"/>
  <c r="U486" i="2"/>
  <c r="T488" i="2" l="1"/>
  <c r="U487" i="2"/>
  <c r="U488" i="2" l="1"/>
  <c r="T489" i="2"/>
  <c r="U489" i="2" l="1"/>
  <c r="T490" i="2"/>
  <c r="U490" i="2" l="1"/>
  <c r="T491" i="2"/>
  <c r="T492" i="2" l="1"/>
  <c r="U491" i="2"/>
  <c r="T493" i="2" l="1"/>
  <c r="U492" i="2"/>
  <c r="U493" i="2" l="1"/>
  <c r="T494" i="2"/>
  <c r="U494" i="2" l="1"/>
  <c r="T495" i="2"/>
  <c r="U495" i="2" l="1"/>
  <c r="T496" i="2"/>
  <c r="T497" i="2" l="1"/>
  <c r="U496" i="2"/>
  <c r="U497" i="2" l="1"/>
  <c r="T498" i="2"/>
  <c r="U498" i="2" l="1"/>
  <c r="T499" i="2"/>
  <c r="T500" i="2" l="1"/>
  <c r="U499" i="2"/>
  <c r="U500" i="2" l="1"/>
  <c r="T501" i="2"/>
  <c r="U501" i="2" l="1"/>
  <c r="T502" i="2"/>
  <c r="U502" i="2" l="1"/>
  <c r="T503" i="2"/>
  <c r="T504" i="2" l="1"/>
  <c r="U503" i="2"/>
  <c r="T505" i="2" l="1"/>
  <c r="U504" i="2"/>
  <c r="U505" i="2" l="1"/>
  <c r="T506" i="2"/>
  <c r="U506" i="2" l="1"/>
  <c r="T507" i="2"/>
  <c r="U507" i="2" l="1"/>
  <c r="T508" i="2"/>
  <c r="U508" i="2" l="1"/>
  <c r="T509" i="2"/>
  <c r="U509" i="2" l="1"/>
  <c r="T510" i="2"/>
  <c r="T511" i="2" l="1"/>
  <c r="U510" i="2"/>
  <c r="T512" i="2" l="1"/>
  <c r="U511" i="2"/>
  <c r="T513" i="2" l="1"/>
  <c r="U512" i="2"/>
  <c r="U513" i="2" l="1"/>
  <c r="T514" i="2"/>
  <c r="U514" i="2" l="1"/>
  <c r="T515" i="2"/>
  <c r="T516" i="2" l="1"/>
  <c r="U515" i="2"/>
  <c r="U516" i="2" l="1"/>
  <c r="T517" i="2"/>
  <c r="U517" i="2" l="1"/>
  <c r="T518" i="2"/>
  <c r="U518" i="2" l="1"/>
  <c r="T519" i="2"/>
  <c r="T520" i="2" l="1"/>
  <c r="U519" i="2"/>
  <c r="T521" i="2" l="1"/>
  <c r="U520" i="2"/>
  <c r="U521" i="2" l="1"/>
  <c r="T522" i="2"/>
  <c r="T523" i="2" l="1"/>
  <c r="U522" i="2"/>
  <c r="U523" i="2" l="1"/>
  <c r="T524" i="2"/>
  <c r="U524" i="2" l="1"/>
  <c r="T525" i="2"/>
  <c r="T526" i="2" l="1"/>
  <c r="U525" i="2"/>
  <c r="U526" i="2" l="1"/>
  <c r="T527" i="2"/>
  <c r="T528" i="2" l="1"/>
  <c r="U527" i="2"/>
  <c r="U528" i="2" l="1"/>
  <c r="T529" i="2"/>
  <c r="U529" i="2" l="1"/>
  <c r="T530" i="2"/>
  <c r="T531" i="2" l="1"/>
  <c r="U530" i="2"/>
  <c r="T532" i="2" l="1"/>
  <c r="U531" i="2"/>
  <c r="T533" i="2" l="1"/>
  <c r="U532" i="2"/>
  <c r="U533" i="2" l="1"/>
  <c r="T534" i="2"/>
  <c r="U534" i="2" l="1"/>
  <c r="T535" i="2"/>
  <c r="U535" i="2" l="1"/>
  <c r="T536" i="2"/>
  <c r="U536" i="2" l="1"/>
  <c r="T537" i="2"/>
  <c r="T538" i="2" l="1"/>
  <c r="U537" i="2"/>
  <c r="U538" i="2" l="1"/>
  <c r="T539" i="2"/>
  <c r="U539" i="2" l="1"/>
  <c r="T540" i="2"/>
  <c r="U540" i="2" l="1"/>
  <c r="T541" i="2"/>
  <c r="U541" i="2" l="1"/>
  <c r="T542" i="2"/>
  <c r="T543" i="2" l="1"/>
  <c r="U542" i="2"/>
  <c r="U543" i="2" l="1"/>
  <c r="T544" i="2"/>
  <c r="U544" i="2" l="1"/>
  <c r="T545" i="2"/>
  <c r="U545" i="2" l="1"/>
  <c r="T546" i="2"/>
  <c r="U546" i="2" l="1"/>
  <c r="T547" i="2"/>
  <c r="T548" i="2" l="1"/>
  <c r="U547" i="2"/>
  <c r="U548" i="2" l="1"/>
  <c r="T549" i="2"/>
  <c r="T550" i="2" l="1"/>
  <c r="U549" i="2"/>
  <c r="T551" i="2" l="1"/>
  <c r="U550" i="2"/>
  <c r="U551" i="2" l="1"/>
  <c r="T552" i="2"/>
  <c r="T553" i="2" l="1"/>
  <c r="U552" i="2"/>
  <c r="U553" i="2" l="1"/>
  <c r="T554" i="2"/>
  <c r="U554" i="2" l="1"/>
  <c r="T555" i="2"/>
  <c r="U555" i="2" l="1"/>
  <c r="T556" i="2"/>
  <c r="U556" i="2" l="1"/>
  <c r="T557" i="2"/>
  <c r="T558" i="2" l="1"/>
  <c r="U557" i="2"/>
  <c r="U558" i="2" l="1"/>
  <c r="T559" i="2"/>
  <c r="U559" i="2" l="1"/>
  <c r="T560" i="2"/>
  <c r="T561" i="2" l="1"/>
  <c r="U560" i="2"/>
  <c r="U561" i="2" l="1"/>
  <c r="T562" i="2"/>
  <c r="T563" i="2" l="1"/>
  <c r="U562" i="2"/>
  <c r="U563" i="2" l="1"/>
  <c r="T564" i="2"/>
  <c r="U564" i="2" l="1"/>
  <c r="T565" i="2"/>
  <c r="T566" i="2" l="1"/>
  <c r="U565" i="2"/>
  <c r="U566" i="2" l="1"/>
  <c r="T567" i="2"/>
  <c r="T568" i="2" l="1"/>
  <c r="U567" i="2"/>
  <c r="U568" i="2" l="1"/>
  <c r="T569" i="2"/>
  <c r="U569" i="2" l="1"/>
  <c r="T570" i="2"/>
  <c r="T571" i="2" l="1"/>
  <c r="U570" i="2"/>
  <c r="T572" i="2" l="1"/>
  <c r="U571" i="2"/>
  <c r="T573" i="2" l="1"/>
  <c r="U572" i="2"/>
  <c r="U573" i="2" l="1"/>
  <c r="T574" i="2"/>
  <c r="U574" i="2" l="1"/>
  <c r="T575" i="2"/>
  <c r="T576" i="2" l="1"/>
  <c r="U575" i="2"/>
  <c r="U576" i="2" l="1"/>
  <c r="T577" i="2"/>
  <c r="T578" i="2" l="1"/>
  <c r="U577" i="2"/>
  <c r="U578" i="2" l="1"/>
  <c r="T579" i="2"/>
  <c r="T580" i="2" l="1"/>
  <c r="U579" i="2"/>
  <c r="U580" i="2" l="1"/>
  <c r="T581" i="2"/>
  <c r="U581" i="2" l="1"/>
  <c r="T582" i="2"/>
  <c r="T583" i="2" l="1"/>
  <c r="U582" i="2"/>
  <c r="U583" i="2" l="1"/>
  <c r="T584" i="2"/>
  <c r="U584" i="2" l="1"/>
  <c r="T585" i="2"/>
  <c r="U585" i="2" l="1"/>
  <c r="T586" i="2"/>
  <c r="U586" i="2" l="1"/>
  <c r="T587" i="2"/>
  <c r="T588" i="2" l="1"/>
  <c r="U587" i="2"/>
  <c r="U588" i="2" l="1"/>
  <c r="T589" i="2"/>
  <c r="U589" i="2" l="1"/>
  <c r="T590" i="2"/>
  <c r="T591" i="2" l="1"/>
  <c r="U590" i="2"/>
  <c r="T592" i="2" l="1"/>
  <c r="U591" i="2"/>
  <c r="T593" i="2" l="1"/>
  <c r="U592" i="2"/>
  <c r="U593" i="2" l="1"/>
  <c r="T594" i="2"/>
  <c r="U594" i="2" l="1"/>
  <c r="T595" i="2"/>
  <c r="U595" i="2" l="1"/>
  <c r="T596" i="2"/>
  <c r="U596" i="2" l="1"/>
  <c r="T597" i="2"/>
  <c r="T598" i="2" l="1"/>
  <c r="U597" i="2"/>
  <c r="U598" i="2" l="1"/>
  <c r="T599" i="2"/>
  <c r="U599" i="2" l="1"/>
  <c r="T600" i="2"/>
  <c r="U600" i="2" l="1"/>
  <c r="T601" i="2"/>
  <c r="U601" i="2" l="1"/>
  <c r="T602" i="2"/>
  <c r="U602" i="2" l="1"/>
  <c r="T603" i="2"/>
  <c r="T604" i="2" s="1"/>
  <c r="T605" i="2" s="1"/>
  <c r="T606" i="2" s="1"/>
  <c r="T607" i="2" s="1"/>
  <c r="T608" i="2" s="1"/>
  <c r="T609" i="2" s="1"/>
  <c r="T610" i="2" s="1"/>
  <c r="T611" i="2" s="1"/>
  <c r="T612" i="2" s="1"/>
  <c r="T613" i="2" s="1"/>
  <c r="T614" i="2" s="1"/>
  <c r="T615" i="2" s="1"/>
  <c r="T616" i="2" s="1"/>
  <c r="T617" i="2" s="1"/>
  <c r="T618" i="2" s="1"/>
  <c r="T619" i="2" s="1"/>
  <c r="T620" i="2" s="1"/>
  <c r="T621" i="2" s="1"/>
  <c r="T622" i="2" s="1"/>
  <c r="T623" i="2" s="1"/>
  <c r="T624" i="2" s="1"/>
  <c r="T625" i="2" s="1"/>
  <c r="T626" i="2" s="1"/>
  <c r="T627" i="2" s="1"/>
  <c r="T628" i="2" s="1"/>
  <c r="T629" i="2" s="1"/>
  <c r="T630" i="2" s="1"/>
  <c r="T631" i="2" s="1"/>
  <c r="T632" i="2" s="1"/>
  <c r="T633" i="2" s="1"/>
  <c r="T634" i="2" s="1"/>
  <c r="T635" i="2" s="1"/>
  <c r="T636" i="2" s="1"/>
  <c r="T637" i="2" s="1"/>
  <c r="T638" i="2" s="1"/>
  <c r="T639" i="2" s="1"/>
  <c r="T640" i="2" s="1"/>
  <c r="T641" i="2" s="1"/>
  <c r="T642" i="2" s="1"/>
  <c r="T643" i="2" s="1"/>
  <c r="T644" i="2" s="1"/>
  <c r="T645" i="2" s="1"/>
  <c r="T646" i="2" s="1"/>
  <c r="T647" i="2" s="1"/>
  <c r="T648" i="2" s="1"/>
  <c r="T649" i="2" s="1"/>
  <c r="T650" i="2" s="1"/>
  <c r="T651" i="2" s="1"/>
  <c r="T652" i="2" s="1"/>
  <c r="T653" i="2" s="1"/>
  <c r="T654" i="2" s="1"/>
  <c r="T655" i="2" s="1"/>
  <c r="T656" i="2" s="1"/>
  <c r="T657" i="2" s="1"/>
  <c r="T658" i="2" s="1"/>
  <c r="T659" i="2" s="1"/>
  <c r="T660" i="2" s="1"/>
  <c r="T661" i="2" s="1"/>
  <c r="T662" i="2" s="1"/>
  <c r="T663" i="2" s="1"/>
  <c r="T664" i="2" s="1"/>
  <c r="T665" i="2" s="1"/>
  <c r="T666" i="2" s="1"/>
  <c r="T667" i="2" s="1"/>
  <c r="T668" i="2" s="1"/>
  <c r="T669" i="2" s="1"/>
  <c r="T670" i="2" s="1"/>
  <c r="T671" i="2" s="1"/>
  <c r="T672" i="2" s="1"/>
  <c r="T673" i="2" s="1"/>
  <c r="T674" i="2" s="1"/>
  <c r="T675" i="2" s="1"/>
  <c r="T676" i="2" s="1"/>
  <c r="T677" i="2" s="1"/>
  <c r="T678" i="2" s="1"/>
  <c r="T679" i="2" s="1"/>
  <c r="T680" i="2" s="1"/>
  <c r="T681" i="2" s="1"/>
  <c r="T682" i="2" s="1"/>
  <c r="T683" i="2" s="1"/>
  <c r="T684" i="2" s="1"/>
  <c r="T685" i="2" s="1"/>
  <c r="T686" i="2" s="1"/>
  <c r="T687" i="2" s="1"/>
  <c r="T688" i="2" s="1"/>
  <c r="T689" i="2" s="1"/>
  <c r="T690" i="2" s="1"/>
  <c r="T691" i="2" s="1"/>
  <c r="T692" i="2" s="1"/>
  <c r="T693" i="2" s="1"/>
  <c r="T694" i="2" s="1"/>
  <c r="T695" i="2" s="1"/>
  <c r="T696" i="2" s="1"/>
  <c r="T697" i="2" s="1"/>
  <c r="T698" i="2" s="1"/>
  <c r="T699" i="2" s="1"/>
  <c r="T700" i="2" s="1"/>
  <c r="T701" i="2" s="1"/>
  <c r="T702" i="2" s="1"/>
</calcChain>
</file>

<file path=xl/sharedStrings.xml><?xml version="1.0" encoding="utf-8"?>
<sst xmlns="http://schemas.openxmlformats.org/spreadsheetml/2006/main" count="71" uniqueCount="39">
  <si>
    <t>sin</t>
  </si>
  <si>
    <t>k</t>
  </si>
  <si>
    <t>decaytest</t>
  </si>
  <si>
    <t>wavelength</t>
  </si>
  <si>
    <t>A</t>
  </si>
  <si>
    <t>Wave2 decay</t>
  </si>
  <si>
    <t>wave 1</t>
  </si>
  <si>
    <t>wave 2</t>
  </si>
  <si>
    <t>offset (rads)</t>
  </si>
  <si>
    <t>combo</t>
  </si>
  <si>
    <t>x phaseshift</t>
  </si>
  <si>
    <t>sin phase shift</t>
  </si>
  <si>
    <t>X1</t>
  </si>
  <si>
    <t>x2</t>
  </si>
  <si>
    <t>t(s)</t>
  </si>
  <si>
    <t>combo amplified</t>
  </si>
  <si>
    <t>sin combo</t>
  </si>
  <si>
    <t>time offset</t>
  </si>
  <si>
    <t>wave1</t>
  </si>
  <si>
    <t>order</t>
  </si>
  <si>
    <t>diff</t>
  </si>
  <si>
    <t>x</t>
  </si>
  <si>
    <t>wave</t>
  </si>
  <si>
    <t>scale</t>
  </si>
  <si>
    <t>max</t>
  </si>
  <si>
    <t>baseline</t>
  </si>
  <si>
    <t>min</t>
  </si>
  <si>
    <t>frame</t>
  </si>
  <si>
    <t>fullwave</t>
  </si>
  <si>
    <t>filter</t>
  </si>
  <si>
    <t>pixel</t>
  </si>
  <si>
    <t>sinx</t>
  </si>
  <si>
    <t>max-min</t>
  </si>
  <si>
    <t>sinx/scale</t>
  </si>
  <si>
    <t>so 0.072 increase when sinx goes from 0 to 1</t>
  </si>
  <si>
    <t>sinx/position</t>
  </si>
  <si>
    <t>so, since lower y is up, y position -51.8 when sinx goes from 0 to 1</t>
  </si>
  <si>
    <t>just exp</t>
  </si>
  <si>
    <t>just 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</si>
</sst>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9F9F7"/>
        <bgColor indexed="64"/>
      </patternFill>
    </fill>
    <fill>
      <patternFill patternType="solid">
        <fgColor rgb="FF6CF2EF"/>
        <bgColor indexed="64"/>
      </patternFill>
    </fill>
    <fill>
      <patternFill patternType="solid">
        <fgColor rgb="FF15EBE6"/>
        <bgColor indexed="64"/>
      </patternFill>
    </fill>
    <fill>
      <patternFill patternType="solid">
        <fgColor rgb="FF0FB5B1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Sinx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Sheet1!$D$2:$D$202</c:f>
              <c:numCache>
                <c:formatCode>General</c:formatCode>
                <c:ptCount val="201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  <c:pt idx="63">
                  <c:v>1.6813900484349713E-2</c:v>
                </c:pt>
                <c:pt idx="64">
                  <c:v>0.11654920485049364</c:v>
                </c:pt>
                <c:pt idx="65">
                  <c:v>0.21511998808781552</c:v>
                </c:pt>
                <c:pt idx="66">
                  <c:v>0.31154136351337786</c:v>
                </c:pt>
                <c:pt idx="67">
                  <c:v>0.4048499206165983</c:v>
                </c:pt>
                <c:pt idx="68">
                  <c:v>0.49411335113860816</c:v>
                </c:pt>
                <c:pt idx="69">
                  <c:v>0.57843976438820011</c:v>
                </c:pt>
                <c:pt idx="70">
                  <c:v>0.65698659871878906</c:v>
                </c:pt>
                <c:pt idx="71">
                  <c:v>0.72896904012587593</c:v>
                </c:pt>
                <c:pt idx="72">
                  <c:v>0.79366786384915311</c:v>
                </c:pt>
                <c:pt idx="73">
                  <c:v>0.8504366206285644</c:v>
                </c:pt>
                <c:pt idx="74">
                  <c:v>0.89870809581162692</c:v>
                </c:pt>
                <c:pt idx="75">
                  <c:v>0.9379999767747389</c:v>
                </c:pt>
                <c:pt idx="76">
                  <c:v>0.96791967203148632</c:v>
                </c:pt>
                <c:pt idx="77">
                  <c:v>0.98816823387700037</c:v>
                </c:pt>
                <c:pt idx="78">
                  <c:v>0.99854334537460498</c:v>
                </c:pt>
                <c:pt idx="79">
                  <c:v>0.99894134183977201</c:v>
                </c:pt>
                <c:pt idx="80">
                  <c:v>0.98935824662338179</c:v>
                </c:pt>
                <c:pt idx="81">
                  <c:v>0.9698898108450863</c:v>
                </c:pt>
                <c:pt idx="82">
                  <c:v>0.94073055667977312</c:v>
                </c:pt>
                <c:pt idx="83">
                  <c:v>0.90217183375629328</c:v>
                </c:pt>
                <c:pt idx="84">
                  <c:v>0.85459890808828043</c:v>
                </c:pt>
                <c:pt idx="85">
                  <c:v>0.79848711262349026</c:v>
                </c:pt>
                <c:pt idx="86">
                  <c:v>0.73439709787411334</c:v>
                </c:pt>
                <c:pt idx="87">
                  <c:v>0.66296923008218334</c:v>
                </c:pt>
                <c:pt idx="88">
                  <c:v>0.58491719289176169</c:v>
                </c:pt>
                <c:pt idx="89">
                  <c:v>0.50102085645788463</c:v>
                </c:pt>
                <c:pt idx="90">
                  <c:v>0.41211848524175659</c:v>
                </c:pt>
                <c:pt idx="91">
                  <c:v>0.31909836234935213</c:v>
                </c:pt>
                <c:pt idx="92">
                  <c:v>0.22288991410024764</c:v>
                </c:pt>
                <c:pt idx="93">
                  <c:v>0.12445442350706171</c:v>
                </c:pt>
                <c:pt idx="94">
                  <c:v>2.4775425453357765E-2</c:v>
                </c:pt>
                <c:pt idx="95">
                  <c:v>-7.5151120461809301E-2</c:v>
                </c:pt>
                <c:pt idx="96">
                  <c:v>-0.17432678122297965</c:v>
                </c:pt>
                <c:pt idx="97">
                  <c:v>-0.27176062641094245</c:v>
                </c:pt>
                <c:pt idx="98">
                  <c:v>-0.36647912925192838</c:v>
                </c:pt>
                <c:pt idx="99">
                  <c:v>-0.45753589377532133</c:v>
                </c:pt>
                <c:pt idx="100">
                  <c:v>-0.54402111088936977</c:v>
                </c:pt>
                <c:pt idx="101">
                  <c:v>-0.62507064889288211</c:v>
                </c:pt>
                <c:pt idx="102">
                  <c:v>-0.69987468759354232</c:v>
                </c:pt>
                <c:pt idx="103">
                  <c:v>-0.76768580976358247</c:v>
                </c:pt>
                <c:pt idx="104">
                  <c:v>-0.82782646908565372</c:v>
                </c:pt>
                <c:pt idx="105">
                  <c:v>-0.87969575997167004</c:v>
                </c:pt>
                <c:pt idx="106">
                  <c:v>-0.92277542161280657</c:v>
                </c:pt>
                <c:pt idx="107">
                  <c:v>-0.95663501627018788</c:v>
                </c:pt>
                <c:pt idx="108">
                  <c:v>-0.98093623006649155</c:v>
                </c:pt>
                <c:pt idx="109">
                  <c:v>-0.99543625330637742</c:v>
                </c:pt>
                <c:pt idx="110">
                  <c:v>-0.99999020655070348</c:v>
                </c:pt>
                <c:pt idx="111">
                  <c:v>-0.99455258820398917</c:v>
                </c:pt>
                <c:pt idx="112">
                  <c:v>-0.9791777291513174</c:v>
                </c:pt>
                <c:pt idx="113">
                  <c:v>-0.95401924990208897</c:v>
                </c:pt>
                <c:pt idx="114">
                  <c:v>-0.91932852566467571</c:v>
                </c:pt>
                <c:pt idx="115">
                  <c:v>-0.87545217468842851</c:v>
                </c:pt>
                <c:pt idx="116">
                  <c:v>-0.82282859496870886</c:v>
                </c:pt>
                <c:pt idx="117">
                  <c:v>-0.76198358391903331</c:v>
                </c:pt>
                <c:pt idx="118">
                  <c:v>-0.69352508477712238</c:v>
                </c:pt>
                <c:pt idx="119">
                  <c:v>-0.61813711223703327</c:v>
                </c:pt>
                <c:pt idx="120">
                  <c:v>-0.53657291800043494</c:v>
                </c:pt>
                <c:pt idx="121">
                  <c:v>-0.44964746453460147</c:v>
                </c:pt>
                <c:pt idx="122">
                  <c:v>-0.35822928223682871</c:v>
                </c:pt>
                <c:pt idx="123">
                  <c:v>-0.26323179136580094</c:v>
                </c:pt>
                <c:pt idx="124">
                  <c:v>-0.16560417544830941</c:v>
                </c:pt>
                <c:pt idx="125">
                  <c:v>-6.6321897351200684E-2</c:v>
                </c:pt>
                <c:pt idx="126">
                  <c:v>3.3623047221136695E-2</c:v>
                </c:pt>
                <c:pt idx="127">
                  <c:v>0.13323204141994222</c:v>
                </c:pt>
                <c:pt idx="128">
                  <c:v>0.23150982510153895</c:v>
                </c:pt>
                <c:pt idx="129">
                  <c:v>0.32747443913769303</c:v>
                </c:pt>
                <c:pt idx="130">
                  <c:v>0.42016703682664092</c:v>
                </c:pt>
                <c:pt idx="131">
                  <c:v>0.5086614643723737</c:v>
                </c:pt>
                <c:pt idx="132">
                  <c:v>0.59207351470722303</c:v>
                </c:pt>
                <c:pt idx="133">
                  <c:v>0.66956976219660236</c:v>
                </c:pt>
                <c:pt idx="134">
                  <c:v>0.74037588995244863</c:v>
                </c:pt>
                <c:pt idx="135">
                  <c:v>0.80378442655162097</c:v>
                </c:pt>
                <c:pt idx="136">
                  <c:v>0.85916181485649579</c:v>
                </c:pt>
                <c:pt idx="137">
                  <c:v>0.90595474230846185</c:v>
                </c:pt>
                <c:pt idx="138">
                  <c:v>0.94369566944410477</c:v>
                </c:pt>
                <c:pt idx="139">
                  <c:v>0.97200750139497594</c:v>
                </c:pt>
                <c:pt idx="140">
                  <c:v>0.99060735569487035</c:v>
                </c:pt>
                <c:pt idx="141">
                  <c:v>0.99930938874791764</c:v>
                </c:pt>
                <c:pt idx="142">
                  <c:v>0.99802665271636171</c:v>
                </c:pt>
                <c:pt idx="143">
                  <c:v>0.98677196427461333</c:v>
                </c:pt>
                <c:pt idx="144">
                  <c:v>0.96565777654927742</c:v>
                </c:pt>
                <c:pt idx="145">
                  <c:v>0.93489505552468299</c:v>
                </c:pt>
                <c:pt idx="146">
                  <c:v>0.89479117214050419</c:v>
                </c:pt>
                <c:pt idx="147">
                  <c:v>0.84574683114293425</c:v>
                </c:pt>
                <c:pt idx="148">
                  <c:v>0.78825206737531628</c:v>
                </c:pt>
                <c:pt idx="149">
                  <c:v>0.72288134951197602</c:v>
                </c:pt>
                <c:pt idx="150">
                  <c:v>0.65028784015711683</c:v>
                </c:pt>
                <c:pt idx="151">
                  <c:v>0.57119686965998862</c:v>
                </c:pt>
                <c:pt idx="152">
                  <c:v>0.48639868885379967</c:v>
                </c:pt>
                <c:pt idx="153">
                  <c:v>0.39674057313061206</c:v>
                </c:pt>
                <c:pt idx="154">
                  <c:v>0.30311835674570226</c:v>
                </c:pt>
                <c:pt idx="155">
                  <c:v>0.2064674819377966</c:v>
                </c:pt>
                <c:pt idx="156">
                  <c:v>0.10775365229944406</c:v>
                </c:pt>
                <c:pt idx="157">
                  <c:v>7.9631837859373434E-3</c:v>
                </c:pt>
                <c:pt idx="158">
                  <c:v>-9.1906850227681636E-2</c:v>
                </c:pt>
                <c:pt idx="159">
                  <c:v>-0.19085858137418937</c:v>
                </c:pt>
                <c:pt idx="160">
                  <c:v>-0.2879033166650653</c:v>
                </c:pt>
                <c:pt idx="161">
                  <c:v>-0.38207141718400911</c:v>
                </c:pt>
                <c:pt idx="162">
                  <c:v>-0.47242198639846616</c:v>
                </c:pt>
                <c:pt idx="163">
                  <c:v>-0.55805227128677937</c:v>
                </c:pt>
                <c:pt idx="164">
                  <c:v>-0.63810668234794743</c:v>
                </c:pt>
                <c:pt idx="165">
                  <c:v>-0.71178534236912305</c:v>
                </c:pt>
                <c:pt idx="166">
                  <c:v>-0.77835207853429844</c:v>
                </c:pt>
                <c:pt idx="167">
                  <c:v>-0.83714177801974676</c:v>
                </c:pt>
                <c:pt idx="168">
                  <c:v>-0.88756703358150457</c:v>
                </c:pt>
                <c:pt idx="169">
                  <c:v>-0.9291240127343684</c:v>
                </c:pt>
                <c:pt idx="170">
                  <c:v>-0.96139749187955681</c:v>
                </c:pt>
                <c:pt idx="171">
                  <c:v>-0.98406500508164341</c:v>
                </c:pt>
                <c:pt idx="172">
                  <c:v>-0.99690006604159609</c:v>
                </c:pt>
                <c:pt idx="173">
                  <c:v>-0.99977443107301112</c:v>
                </c:pt>
                <c:pt idx="174">
                  <c:v>-0.99265938047063318</c:v>
                </c:pt>
                <c:pt idx="175">
                  <c:v>-0.97562600546815759</c:v>
                </c:pt>
                <c:pt idx="176">
                  <c:v>-0.94884449791812397</c:v>
                </c:pt>
                <c:pt idx="177">
                  <c:v>-0.91258244979118452</c:v>
                </c:pt>
                <c:pt idx="178">
                  <c:v>-0.86720217948558131</c:v>
                </c:pt>
                <c:pt idx="179">
                  <c:v>-0.81315711166148852</c:v>
                </c:pt>
                <c:pt idx="180">
                  <c:v>-0.75098724677167605</c:v>
                </c:pt>
                <c:pt idx="181">
                  <c:v>-0.68131376555549994</c:v>
                </c:pt>
                <c:pt idx="182">
                  <c:v>-0.60483282240628411</c:v>
                </c:pt>
                <c:pt idx="183">
                  <c:v>-0.52230858962673155</c:v>
                </c:pt>
                <c:pt idx="184">
                  <c:v>-0.43456562207189675</c:v>
                </c:pt>
                <c:pt idx="185">
                  <c:v>-0.34248061846961253</c:v>
                </c:pt>
                <c:pt idx="186">
                  <c:v>-0.24697366173662089</c:v>
                </c:pt>
                <c:pt idx="187">
                  <c:v>-0.1489990258141988</c:v>
                </c:pt>
                <c:pt idx="188">
                  <c:v>-4.9535640878367419E-2</c:v>
                </c:pt>
                <c:pt idx="189">
                  <c:v>5.0422687806811223E-2</c:v>
                </c:pt>
                <c:pt idx="190">
                  <c:v>0.14987720966295234</c:v>
                </c:pt>
                <c:pt idx="191">
                  <c:v>0.24783420798295983</c:v>
                </c:pt>
                <c:pt idx="192">
                  <c:v>0.34331492881989539</c:v>
                </c:pt>
                <c:pt idx="193">
                  <c:v>0.4353653603728932</c:v>
                </c:pt>
                <c:pt idx="194">
                  <c:v>0.52306576515769643</c:v>
                </c:pt>
                <c:pt idx="195">
                  <c:v>0.60553986971960105</c:v>
                </c:pt>
                <c:pt idx="196">
                  <c:v>0.6819636200681356</c:v>
                </c:pt>
                <c:pt idx="197">
                  <c:v>0.75157341535214828</c:v>
                </c:pt>
                <c:pt idx="198">
                  <c:v>0.81367373750710537</c:v>
                </c:pt>
                <c:pt idx="199">
                  <c:v>0.8676441006416673</c:v>
                </c:pt>
                <c:pt idx="200">
                  <c:v>0.91294525072762767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E-4D71-94BC-1A81611E6CAE}"/>
            </c:ext>
          </c:extLst>
        </c:ser>
        <c:ser>
          <c:idx val="1"/>
          <c:order val="1"/>
          <c:tx>
            <c:v>sinps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Sheet1!$E$2:$E$202</c:f>
              <c:numCache>
                <c:formatCode>General</c:formatCode>
                <c:ptCount val="201"/>
                <c:pt idx="0">
                  <c:v>-0.70710678118654746</c:v>
                </c:pt>
                <c:pt idx="1">
                  <c:v>-0.63298130667695818</c:v>
                </c:pt>
                <c:pt idx="2">
                  <c:v>-0.55253129218685415</c:v>
                </c:pt>
                <c:pt idx="3">
                  <c:v>-0.46656056766778126</c:v>
                </c:pt>
                <c:pt idx="4">
                  <c:v>-0.37592812418099097</c:v>
                </c:pt>
                <c:pt idx="5">
                  <c:v>-0.28153953114270069</c:v>
                </c:pt>
                <c:pt idx="6">
                  <c:v>-0.18433788817382829</c:v>
                </c:pt>
                <c:pt idx="7">
                  <c:v>-8.5294401960327448E-2</c:v>
                </c:pt>
                <c:pt idx="8">
                  <c:v>1.4601317722980348E-2</c:v>
                </c:pt>
                <c:pt idx="9">
                  <c:v>0.11435114586615396</c:v>
                </c:pt>
                <c:pt idx="10">
                  <c:v>0.21295841515929623</c:v>
                </c:pt>
                <c:pt idx="11">
                  <c:v>0.30943787436285974</c:v>
                </c:pt>
                <c:pt idx="12">
                  <c:v>0.40282553261235132</c:v>
                </c:pt>
                <c:pt idx="13">
                  <c:v>0.49218829129639802</c:v>
                </c:pt>
                <c:pt idx="14">
                  <c:v>0.57663326726962905</c:v>
                </c:pt>
                <c:pt idx="15">
                  <c:v>0.6553167142459182</c:v>
                </c:pt>
                <c:pt idx="16">
                  <c:v>0.72745245323236762</c:v>
                </c:pt>
                <c:pt idx="17">
                  <c:v>0.79231972776992976</c:v>
                </c:pt>
                <c:pt idx="18">
                  <c:v>0.8492704054936957</c:v>
                </c:pt>
                <c:pt idx="19">
                  <c:v>0.89773545405724031</c:v>
                </c:pt>
                <c:pt idx="20">
                  <c:v>0.93723062671573221</c:v>
                </c:pt>
                <c:pt idx="21">
                  <c:v>0.9673613007593358</c:v>
                </c:pt>
                <c:pt idx="22">
                  <c:v>0.98782642045288405</c:v>
                </c:pt>
                <c:pt idx="23">
                  <c:v>0.99842150508526817</c:v>
                </c:pt>
                <c:pt idx="24">
                  <c:v>0.99904069207311086</c:v>
                </c:pt>
                <c:pt idx="25">
                  <c:v>0.98967779470470552</c:v>
                </c:pt>
                <c:pt idx="26">
                  <c:v>0.97042636395559478</c:v>
                </c:pt>
                <c:pt idx="27">
                  <c:v>0.94147875375814694</c:v>
                </c:pt>
                <c:pt idx="28">
                  <c:v>0.90312419906464736</c:v>
                </c:pt>
                <c:pt idx="29">
                  <c:v>0.85574592590726284</c:v>
                </c:pt>
                <c:pt idx="30">
                  <c:v>0.79981732233020741</c:v>
                </c:pt>
                <c:pt idx="31">
                  <c:v>0.73589720845288453</c:v>
                </c:pt>
                <c:pt idx="32">
                  <c:v>0.66462425292397598</c:v>
                </c:pt>
                <c:pt idx="33">
                  <c:v>0.58671059155542016</c:v>
                </c:pt>
                <c:pt idx="34">
                  <c:v>0.50293471189677874</c:v>
                </c:pt>
                <c:pt idx="35">
                  <c:v>0.41413367484497737</c:v>
                </c:pt>
                <c:pt idx="36">
                  <c:v>0.32119475100851724</c:v>
                </c:pt>
                <c:pt idx="37">
                  <c:v>0.22504655539284873</c:v>
                </c:pt>
                <c:pt idx="38">
                  <c:v>0.12664976898619604</c:v>
                </c:pt>
                <c:pt idx="39">
                  <c:v>2.6987539952680412E-2</c:v>
                </c:pt>
                <c:pt idx="40">
                  <c:v>-7.2944339659147747E-2</c:v>
                </c:pt>
                <c:pt idx="41">
                  <c:v>-0.17214738354129416</c:v>
                </c:pt>
                <c:pt idx="42">
                  <c:v>-0.26963038767145625</c:v>
                </c:pt>
                <c:pt idx="43">
                  <c:v>-0.36441933409596056</c:v>
                </c:pt>
                <c:pt idx="44">
                  <c:v>-0.45556712299519508</c:v>
                </c:pt>
                <c:pt idx="45">
                  <c:v>-0.54216303579193015</c:v>
                </c:pt>
                <c:pt idx="46">
                  <c:v>-0.62334183475030469</c:v>
                </c:pt>
                <c:pt idx="47">
                  <c:v>-0.6982924081452706</c:v>
                </c:pt>
                <c:pt idx="48">
                  <c:v>-0.76626587462282947</c:v>
                </c:pt>
                <c:pt idx="49">
                  <c:v>-0.82658306577497964</c:v>
                </c:pt>
                <c:pt idx="50">
                  <c:v>-0.8786413121659401</c:v>
                </c:pt>
                <c:pt idx="51">
                  <c:v>-0.92192046500594138</c:v>
                </c:pt>
                <c:pt idx="52">
                  <c:v>-0.95598809330599244</c:v>
                </c:pt>
                <c:pt idx="53">
                  <c:v>-0.98050380458537911</c:v>
                </c:pt>
                <c:pt idx="54">
                  <c:v>-0.995222645960815</c:v>
                </c:pt>
                <c:pt idx="55">
                  <c:v>-0.99999755163467863</c:v>
                </c:pt>
                <c:pt idx="56">
                  <c:v>-0.99478081232785076</c:v>
                </c:pt>
                <c:pt idx="57">
                  <c:v>-0.97962455197506038</c:v>
                </c:pt>
                <c:pt idx="58">
                  <c:v>-0.9546802069197593</c:v>
                </c:pt>
                <c:pt idx="59">
                  <c:v>-0.92019701281223532</c:v>
                </c:pt>
                <c:pt idx="60">
                  <c:v>-0.87651951432938302</c:v>
                </c:pt>
                <c:pt idx="61">
                  <c:v>-0.82408412259818131</c:v>
                </c:pt>
                <c:pt idx="62">
                  <c:v>-0.76341475471997178</c:v>
                </c:pt>
                <c:pt idx="63">
                  <c:v>-0.69511759896396785</c:v>
                </c:pt>
                <c:pt idx="64">
                  <c:v>-0.6198750579344442</c:v>
                </c:pt>
                <c:pt idx="65">
                  <c:v>-0.53843893022949174</c:v>
                </c:pt>
                <c:pt idx="66">
                  <c:v>-0.4516228987179331</c:v>
                </c:pt>
                <c:pt idx="67">
                  <c:v>-0.36029440048906625</c:v>
                </c:pt>
                <c:pt idx="68">
                  <c:v>-0.26536595970800791</c:v>
                </c:pt>
                <c:pt idx="69">
                  <c:v>-0.16778606997587012</c:v>
                </c:pt>
                <c:pt idx="70">
                  <c:v>-6.8529717295235076E-2</c:v>
                </c:pt>
                <c:pt idx="71">
                  <c:v>3.1411361667701171E-2</c:v>
                </c:pt>
                <c:pt idx="72">
                  <c:v>0.13103858868807031</c:v>
                </c:pt>
                <c:pt idx="73">
                  <c:v>0.22935652144586585</c:v>
                </c:pt>
                <c:pt idx="74">
                  <c:v>0.32538279965656131</c:v>
                </c:pt>
                <c:pt idx="75">
                  <c:v>0.41815796049034099</c:v>
                </c:pt>
                <c:pt idx="76">
                  <c:v>0.50675502520754556</c:v>
                </c:pt>
                <c:pt idx="77">
                  <c:v>0.59028876122381735</c:v>
                </c:pt>
                <c:pt idx="78">
                  <c:v>0.66792452706146221</c:v>
                </c:pt>
                <c:pt idx="79">
                  <c:v>0.73888661181120396</c:v>
                </c:pt>
                <c:pt idx="80">
                  <c:v>0.8024659857791685</c:v>
                </c:pt>
                <c:pt idx="81">
                  <c:v>0.85802738487721542</c:v>
                </c:pt>
                <c:pt idx="82">
                  <c:v>0.90501565797171368</c:v>
                </c:pt>
                <c:pt idx="83">
                  <c:v>0.94296131377016168</c:v>
                </c:pt>
                <c:pt idx="84">
                  <c:v>0.97148521182298619</c:v>
                </c:pt>
                <c:pt idx="85">
                  <c:v>0.99030235076959117</c:v>
                </c:pt>
                <c:pt idx="86">
                  <c:v>0.99922471597774143</c:v>
                </c:pt>
                <c:pt idx="87">
                  <c:v>0.99816315812361889</c:v>
                </c:pt>
                <c:pt idx="88">
                  <c:v>0.98712828394239738</c:v>
                </c:pt>
                <c:pt idx="89">
                  <c:v>0.96623035024925097</c:v>
                </c:pt>
                <c:pt idx="90">
                  <c:v>0.93567816228970446</c:v>
                </c:pt>
                <c:pt idx="91">
                  <c:v>0.89577698742663692</c:v>
                </c:pt>
                <c:pt idx="92">
                  <c:v>0.84692550500970809</c:v>
                </c:pt>
                <c:pt idx="93">
                  <c:v>0.7896118229030713</c:v>
                </c:pt>
                <c:pt idx="94">
                  <c:v>0.72440860047295319</c:v>
                </c:pt>
                <c:pt idx="95">
                  <c:v>0.6519673267645586</c:v>
                </c:pt>
                <c:pt idx="96">
                  <c:v>0.573011811038875</c:v>
                </c:pt>
                <c:pt idx="97">
                  <c:v>0.48833095070981575</c:v>
                </c:pt>
                <c:pt idx="98">
                  <c:v>0.39877084894201187</c:v>
                </c:pt>
                <c:pt idx="99">
                  <c:v>0.30522636066769654</c:v>
                </c:pt>
                <c:pt idx="100">
                  <c:v>0.20863215149201361</c:v>
                </c:pt>
                <c:pt idx="101">
                  <c:v>0.10995335882323927</c:v>
                </c:pt>
                <c:pt idx="102">
                  <c:v>1.0175948538854767E-2</c:v>
                </c:pt>
                <c:pt idx="103">
                  <c:v>-8.9703136459612129E-2</c:v>
                </c:pt>
                <c:pt idx="104">
                  <c:v>-0.18868593737048917</c:v>
                </c:pt>
                <c:pt idx="105">
                  <c:v>-0.28578345076643524</c:v>
                </c:pt>
                <c:pt idx="106">
                  <c:v>-0.38002551038977556</c:v>
                </c:pt>
                <c:pt idx="107">
                  <c:v>-0.47047048073303022</c:v>
                </c:pt>
                <c:pt idx="108">
                  <c:v>-0.55621466554966814</c:v>
                </c:pt>
                <c:pt idx="109">
                  <c:v>-0.6364013372882571</c:v>
                </c:pt>
                <c:pt idx="110">
                  <c:v>-0.7102292972309725</c:v>
                </c:pt>
                <c:pt idx="111">
                  <c:v>-0.77696088080635073</c:v>
                </c:pt>
                <c:pt idx="112">
                  <c:v>-0.83592932808983056</c:v>
                </c:pt>
                <c:pt idx="113">
                  <c:v>-0.88654544584853701</c:v>
                </c:pt>
                <c:pt idx="114">
                  <c:v>-0.9283034945652866</c:v>
                </c:pt>
                <c:pt idx="115">
                  <c:v>-0.9607862416206765</c:v>
                </c:pt>
                <c:pt idx="116">
                  <c:v>-0.98366913014349988</c:v>
                </c:pt>
                <c:pt idx="117">
                  <c:v>-0.99672352187571267</c:v>
                </c:pt>
                <c:pt idx="118">
                  <c:v>-0.99981898165033545</c:v>
                </c:pt>
                <c:pt idx="119">
                  <c:v>-0.99292458065652267</c:v>
                </c:pt>
                <c:pt idx="120">
                  <c:v>-0.97610920547001923</c:v>
                </c:pt>
                <c:pt idx="121">
                  <c:v>-0.94954086976126351</c:v>
                </c:pt>
                <c:pt idx="122">
                  <c:v>-0.91348503555833516</c:v>
                </c:pt>
                <c:pt idx="123">
                  <c:v>-0.86830196083811295</c:v>
                </c:pt>
                <c:pt idx="124">
                  <c:v>-0.81444309994766373</c:v>
                </c:pt>
                <c:pt idx="125">
                  <c:v>-0.75244659282163495</c:v>
                </c:pt>
                <c:pt idx="126">
                  <c:v>-0.68293188806590488</c:v>
                </c:pt>
                <c:pt idx="127">
                  <c:v>-0.60659355363189127</c:v>
                </c:pt>
                <c:pt idx="128">
                  <c:v>-0.52419433692315498</c:v>
                </c:pt>
                <c:pt idx="129">
                  <c:v>-0.4365575436754926</c:v>
                </c:pt>
                <c:pt idx="130">
                  <c:v>-0.34455881175816588</c:v>
                </c:pt>
                <c:pt idx="131">
                  <c:v>-0.24911736208974858</c:v>
                </c:pt>
                <c:pt idx="132">
                  <c:v>-0.15118681408658552</c:v>
                </c:pt>
                <c:pt idx="133">
                  <c:v>-5.1745657412782142E-2</c:v>
                </c:pt>
                <c:pt idx="134">
                  <c:v>4.8212524765049579E-2</c:v>
                </c:pt>
                <c:pt idx="135">
                  <c:v>0.14768898333236721</c:v>
                </c:pt>
                <c:pt idx="136">
                  <c:v>0.24568978239771855</c:v>
                </c:pt>
                <c:pt idx="137">
                  <c:v>0.34123573037159283</c:v>
                </c:pt>
                <c:pt idx="138">
                  <c:v>0.43337216372513315</c:v>
                </c:pt>
                <c:pt idx="139">
                  <c:v>0.52117848567252312</c:v>
                </c:pt>
                <c:pt idx="140">
                  <c:v>0.60377736446977259</c:v>
                </c:pt>
                <c:pt idx="141">
                  <c:v>0.68034349942350469</c:v>
                </c:pt>
                <c:pt idx="142">
                  <c:v>0.75011186702265531</c:v>
                </c:pt>
                <c:pt idx="143">
                  <c:v>0.81238536480053491</c:v>
                </c:pt>
                <c:pt idx="144">
                  <c:v>0.86654177655222597</c:v>
                </c:pt>
                <c:pt idx="145">
                  <c:v>0.91203998931323349</c:v>
                </c:pt>
                <c:pt idx="146">
                  <c:v>0.94842539998136255</c:v>
                </c:pt>
                <c:pt idx="147">
                  <c:v>0.97533445756063208</c:v>
                </c:pt>
                <c:pt idx="148">
                  <c:v>0.99249829564266379</c:v>
                </c:pt>
                <c:pt idx="149">
                  <c:v>0.99974541883095158</c:v>
                </c:pt>
                <c:pt idx="150">
                  <c:v>0.99700341626617861</c:v>
                </c:pt>
                <c:pt idx="151">
                  <c:v>0.9842996851315865</c:v>
                </c:pt>
                <c:pt idx="152">
                  <c:v>0.96176115690937758</c:v>
                </c:pt>
                <c:pt idx="153">
                  <c:v>0.92961302912329991</c:v>
                </c:pt>
                <c:pt idx="154">
                  <c:v>0.88817651523943431</c:v>
                </c:pt>
                <c:pt idx="155">
                  <c:v>0.83786563520741997</c:v>
                </c:pt>
                <c:pt idx="156">
                  <c:v>0.77918307870996717</c:v>
                </c:pt>
                <c:pt idx="157">
                  <c:v>0.71271518245372867</c:v>
                </c:pt>
                <c:pt idx="158">
                  <c:v>0.63912607168672664</c:v>
                </c:pt>
                <c:pt idx="159">
                  <c:v>0.55915102447842135</c:v>
                </c:pt>
                <c:pt idx="160">
                  <c:v>0.47358912506428547</c:v>
                </c:pt>
                <c:pt idx="161">
                  <c:v>0.38329527966025545</c:v>
                </c:pt>
                <c:pt idx="162">
                  <c:v>0.28917167452243764</c:v>
                </c:pt>
                <c:pt idx="163">
                  <c:v>0.19215876160023521</c:v>
                </c:pt>
                <c:pt idx="164">
                  <c:v>9.3225861851368219E-2</c:v>
                </c:pt>
                <c:pt idx="165">
                  <c:v>-6.6385198927483638E-3</c:v>
                </c:pt>
                <c:pt idx="166">
                  <c:v>-0.10643657174049953</c:v>
                </c:pt>
                <c:pt idx="167">
                  <c:v>-0.20517114454666899</c:v>
                </c:pt>
                <c:pt idx="168">
                  <c:v>-0.30185571509709508</c:v>
                </c:pt>
                <c:pt idx="169">
                  <c:v>-0.3955242431225009</c:v>
                </c:pt>
                <c:pt idx="170">
                  <c:v>-0.48524082365356214</c:v>
                </c:pt>
                <c:pt idx="171">
                  <c:v>-0.57010903827396753</c:v>
                </c:pt>
                <c:pt idx="172">
                  <c:v>-0.64928091183692915</c:v>
                </c:pt>
                <c:pt idx="173">
                  <c:v>-0.72196538515255348</c:v>
                </c:pt>
                <c:pt idx="174">
                  <c:v>-0.78743621898975824</c:v>
                </c:pt>
                <c:pt idx="175">
                  <c:v>-0.84503925041862682</c:v>
                </c:pt>
                <c:pt idx="176">
                  <c:v>-0.8941989289901503</c:v>
                </c:pt>
                <c:pt idx="177">
                  <c:v>-0.93442406744606998</c:v>
                </c:pt>
                <c:pt idx="178">
                  <c:v>-0.9653127494996</c:v>
                </c:pt>
                <c:pt idx="179">
                  <c:v>-0.9865563456501002</c:v>
                </c:pt>
                <c:pt idx="180">
                  <c:v>-0.99794259690703546</c:v>
                </c:pt>
                <c:pt idx="181">
                  <c:v>-0.99935773561163976</c:v>
                </c:pt>
                <c:pt idx="182">
                  <c:v>-0.99078762216575988</c:v>
                </c:pt>
                <c:pt idx="183">
                  <c:v>-0.97231788631004368</c:v>
                </c:pt>
                <c:pt idx="184">
                  <c:v>-0.9441330715398798</c:v>
                </c:pt>
                <c:pt idx="185">
                  <c:v>-0.90651479120778855</c:v>
                </c:pt>
                <c:pt idx="186">
                  <c:v>-0.8598389147358988</c:v>
                </c:pt>
                <c:pt idx="187">
                  <c:v>-0.80457181205292649</c:v>
                </c:pt>
                <c:pt idx="188">
                  <c:v>-0.74126569378000062</c:v>
                </c:pt>
                <c:pt idx="189">
                  <c:v>-0.6705530937246883</c:v>
                </c:pt>
                <c:pt idx="190">
                  <c:v>-0.59314054881225931</c:v>
                </c:pt>
                <c:pt idx="191">
                  <c:v>-0.50980153960229591</c:v>
                </c:pt>
                <c:pt idx="192">
                  <c:v>-0.42136876192661338</c:v>
                </c:pt>
                <c:pt idx="193">
                  <c:v>-0.32872580686775116</c:v>
                </c:pt>
                <c:pt idx="194">
                  <c:v>-0.23279833220897453</c:v>
                </c:pt>
                <c:pt idx="195">
                  <c:v>-0.13454481356765988</c:v>
                </c:pt>
                <c:pt idx="196">
                  <c:v>-3.4946967623779447E-2</c:v>
                </c:pt>
                <c:pt idx="197">
                  <c:v>6.5000056868662615E-2</c:v>
                </c:pt>
                <c:pt idx="198">
                  <c:v>0.16429762227903869</c:v>
                </c:pt>
                <c:pt idx="199">
                  <c:v>0.26195358015717241</c:v>
                </c:pt>
                <c:pt idx="200">
                  <c:v>0.35699218445272024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E-4D71-94BC-1A81611E6CAE}"/>
            </c:ext>
          </c:extLst>
        </c:ser>
        <c:ser>
          <c:idx val="2"/>
          <c:order val="2"/>
          <c:tx>
            <c:v>sincombo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Sheet1!$T$2:$T$202</c:f>
              <c:numCache>
                <c:formatCode>General</c:formatCode>
                <c:ptCount val="201"/>
                <c:pt idx="0">
                  <c:v>-0.70710678118654746</c:v>
                </c:pt>
                <c:pt idx="1">
                  <c:v>-0.53314789003013008</c:v>
                </c:pt>
                <c:pt idx="2">
                  <c:v>-0.35386196139179293</c:v>
                </c:pt>
                <c:pt idx="3">
                  <c:v>-0.17104036100644171</c:v>
                </c:pt>
                <c:pt idx="4">
                  <c:v>1.3490218127659548E-2</c:v>
                </c:pt>
                <c:pt idx="5">
                  <c:v>0.19788600746150231</c:v>
                </c:pt>
                <c:pt idx="6">
                  <c:v>0.38030458522120708</c:v>
                </c:pt>
                <c:pt idx="7">
                  <c:v>0.55892328527736357</c:v>
                </c:pt>
                <c:pt idx="8">
                  <c:v>0.73195740862250314</c:v>
                </c:pt>
                <c:pt idx="9">
                  <c:v>0.89767805549363733</c:v>
                </c:pt>
                <c:pt idx="10">
                  <c:v>1.0544293999671928</c:v>
                </c:pt>
                <c:pt idx="11">
                  <c:v>1.2006452344242953</c:v>
                </c:pt>
                <c:pt idx="12">
                  <c:v>1.3348646185795776</c:v>
                </c:pt>
                <c:pt idx="13">
                  <c:v>1.455746476713591</c:v>
                </c:pt>
                <c:pt idx="14">
                  <c:v>1.5620829972580892</c:v>
                </c:pt>
                <c:pt idx="15">
                  <c:v>1.6528117008499725</c:v>
                </c:pt>
                <c:pt idx="16">
                  <c:v>1.7270260562738726</c:v>
                </c:pt>
                <c:pt idx="17">
                  <c:v>1.7839845382223984</c:v>
                </c:pt>
                <c:pt idx="18">
                  <c:v>1.8231180363718908</c:v>
                </c:pt>
                <c:pt idx="19">
                  <c:v>1.8440355417446548</c:v>
                </c:pt>
                <c:pt idx="20">
                  <c:v>1.8465280535414139</c:v>
                </c:pt>
                <c:pt idx="21">
                  <c:v>1.8305706674082094</c:v>
                </c:pt>
                <c:pt idx="22">
                  <c:v>1.7963228242724743</c:v>
                </c:pt>
                <c:pt idx="23">
                  <c:v>1.7441267172619885</c:v>
                </c:pt>
                <c:pt idx="24">
                  <c:v>1.6745038726242618</c:v>
                </c:pt>
                <c:pt idx="25">
                  <c:v>1.588149938808662</c:v>
                </c:pt>
                <c:pt idx="26">
                  <c:v>1.4859277357770591</c:v>
                </c:pt>
                <c:pt idx="27">
                  <c:v>1.3688586339919766</c:v>
                </c:pt>
                <c:pt idx="28">
                  <c:v>1.2381123492205526</c:v>
                </c:pt>
                <c:pt idx="29">
                  <c:v>1.0949952551212452</c:v>
                </c:pt>
                <c:pt idx="30">
                  <c:v>0.94093733039007466</c:v>
                </c:pt>
                <c:pt idx="31">
                  <c:v>0.77747787088617504</c:v>
                </c:pt>
                <c:pt idx="32">
                  <c:v>0.60625010949639591</c:v>
                </c:pt>
                <c:pt idx="33">
                  <c:v>0.42896489741217192</c:v>
                </c:pt>
                <c:pt idx="34">
                  <c:v>0.24739360986994752</c:v>
                </c:pt>
                <c:pt idx="35">
                  <c:v>6.3350447155357537E-2</c:v>
                </c:pt>
                <c:pt idx="36">
                  <c:v>-0.12132569228633522</c:v>
                </c:pt>
                <c:pt idx="37">
                  <c:v>-0.30478958551564467</c:v>
                </c:pt>
                <c:pt idx="38">
                  <c:v>-0.48520812195652285</c:v>
                </c:pt>
                <c:pt idx="39">
                  <c:v>-0.66077861923129333</c:v>
                </c:pt>
                <c:pt idx="40">
                  <c:v>-0.82974683496707591</c:v>
                </c:pt>
                <c:pt idx="41">
                  <c:v>-0.99042449460570436</c:v>
                </c:pt>
                <c:pt idx="42">
                  <c:v>-1.1412061600850445</c:v>
                </c:pt>
                <c:pt idx="43">
                  <c:v>-1.2805852708454155</c:v>
                </c:pt>
                <c:pt idx="44">
                  <c:v>-1.4071691968847111</c:v>
                </c:pt>
                <c:pt idx="45">
                  <c:v>-1.5196931534570273</c:v>
                </c:pt>
                <c:pt idx="46">
                  <c:v>-1.6170328383837691</c:v>
                </c:pt>
                <c:pt idx="47">
                  <c:v>-1.6982156657093714</c:v>
                </c:pt>
                <c:pt idx="48">
                  <c:v>-1.7624304834586701</c:v>
                </c:pt>
                <c:pt idx="49">
                  <c:v>-1.809035678399312</c:v>
                </c:pt>
                <c:pt idx="50">
                  <c:v>-1.8375655868290786</c:v>
                </c:pt>
                <c:pt idx="51">
                  <c:v>-1.8477351473336738</c:v>
                </c:pt>
                <c:pt idx="52">
                  <c:v>-1.8394427490261456</c:v>
                </c:pt>
                <c:pt idx="53">
                  <c:v>-1.8127712468092803</c:v>
                </c:pt>
                <c:pt idx="54">
                  <c:v>-1.7679871335168023</c:v>
                </c:pt>
                <c:pt idx="55">
                  <c:v>-1.7055378772050704</c:v>
                </c:pt>
                <c:pt idx="56">
                  <c:v>-1.6260474502001725</c:v>
                </c:pt>
                <c:pt idx="57">
                  <c:v>-1.530310094572698</c:v>
                </c:pt>
                <c:pt idx="58">
                  <c:v>-1.4192823863335167</c:v>
                </c:pt>
                <c:pt idx="59">
                  <c:v>-1.2940736776424713</c:v>
                </c:pt>
                <c:pt idx="60">
                  <c:v>-1.155935012528309</c:v>
                </c:pt>
                <c:pt idx="61">
                  <c:v>-1.0062466268702772</c:v>
                </c:pt>
                <c:pt idx="62">
                  <c:v>-0.84650415753746822</c:v>
                </c:pt>
                <c:pt idx="63">
                  <c:v>-0.67830369847961813</c:v>
                </c:pt>
                <c:pt idx="64">
                  <c:v>-0.50332585308395061</c:v>
                </c:pt>
                <c:pt idx="65">
                  <c:v>-0.32331894214167622</c:v>
                </c:pt>
                <c:pt idx="66">
                  <c:v>-0.14008153520455524</c:v>
                </c:pt>
                <c:pt idx="67">
                  <c:v>4.4555520127532056E-2</c:v>
                </c:pt>
                <c:pt idx="68">
                  <c:v>0.22874739143060024</c:v>
                </c:pt>
                <c:pt idx="69">
                  <c:v>0.41065369441233002</c:v>
                </c:pt>
                <c:pt idx="70">
                  <c:v>0.58845688142355401</c:v>
                </c:pt>
                <c:pt idx="71">
                  <c:v>0.76038040179357713</c:v>
                </c:pt>
                <c:pt idx="72">
                  <c:v>0.92470645253722339</c:v>
                </c:pt>
                <c:pt idx="73">
                  <c:v>1.0797931420744302</c:v>
                </c:pt>
                <c:pt idx="74">
                  <c:v>1.2240908954681882</c:v>
                </c:pt>
                <c:pt idx="75">
                  <c:v>1.3561579372650798</c:v>
                </c:pt>
                <c:pt idx="76">
                  <c:v>1.4746746972390319</c:v>
                </c:pt>
                <c:pt idx="77">
                  <c:v>1.5784569951008178</c:v>
                </c:pt>
                <c:pt idx="78">
                  <c:v>1.6664678724360673</c:v>
                </c:pt>
                <c:pt idx="79">
                  <c:v>1.737827953650976</c:v>
                </c:pt>
                <c:pt idx="80">
                  <c:v>1.7918242324025502</c:v>
                </c:pt>
                <c:pt idx="81">
                  <c:v>1.8279171957223017</c:v>
                </c:pt>
                <c:pt idx="82">
                  <c:v>1.8457462146514869</c:v>
                </c:pt>
                <c:pt idx="83">
                  <c:v>1.845133147526455</c:v>
                </c:pt>
                <c:pt idx="84">
                  <c:v>1.8260841199112665</c:v>
                </c:pt>
                <c:pt idx="85">
                  <c:v>1.7887894633930814</c:v>
                </c:pt>
                <c:pt idx="86">
                  <c:v>1.7336218138518547</c:v>
                </c:pt>
                <c:pt idx="87">
                  <c:v>1.6611323882058022</c:v>
                </c:pt>
                <c:pt idx="88">
                  <c:v>1.572045476834159</c:v>
                </c:pt>
                <c:pt idx="89">
                  <c:v>1.4672512067071355</c:v>
                </c:pt>
                <c:pt idx="90">
                  <c:v>1.3477966475314611</c:v>
                </c:pt>
                <c:pt idx="91">
                  <c:v>1.214875349775989</c:v>
                </c:pt>
                <c:pt idx="92">
                  <c:v>1.0698154191099558</c:v>
                </c:pt>
                <c:pt idx="93">
                  <c:v>0.91406624641013301</c:v>
                </c:pt>
                <c:pt idx="94">
                  <c:v>0.74918402592631095</c:v>
                </c:pt>
                <c:pt idx="95">
                  <c:v>0.57681620630274932</c:v>
                </c:pt>
                <c:pt idx="96">
                  <c:v>0.39868502981589538</c:v>
                </c:pt>
                <c:pt idx="97">
                  <c:v>0.2165703242988733</c:v>
                </c:pt>
                <c:pt idx="98">
                  <c:v>3.2291719690083487E-2</c:v>
                </c:pt>
                <c:pt idx="99">
                  <c:v>-0.15230953310762479</c:v>
                </c:pt>
                <c:pt idx="100">
                  <c:v>-0.33538895939735613</c:v>
                </c:pt>
                <c:pt idx="101">
                  <c:v>-0.5151172900696428</c:v>
                </c:pt>
                <c:pt idx="102">
                  <c:v>-0.68969873905468759</c:v>
                </c:pt>
                <c:pt idx="103">
                  <c:v>-0.85738894622319461</c:v>
                </c:pt>
                <c:pt idx="104">
                  <c:v>-1.0165124064561428</c:v>
                </c:pt>
                <c:pt idx="105">
                  <c:v>-1.1654792107381053</c:v>
                </c:pt>
                <c:pt idx="106">
                  <c:v>-1.3028009320025822</c:v>
                </c:pt>
                <c:pt idx="107">
                  <c:v>-1.4271054970032182</c:v>
                </c:pt>
                <c:pt idx="108">
                  <c:v>-1.5371508956161597</c:v>
                </c:pt>
                <c:pt idx="109">
                  <c:v>-1.6318375905946345</c:v>
                </c:pt>
                <c:pt idx="110">
                  <c:v>-1.7102195037816759</c:v>
                </c:pt>
                <c:pt idx="111">
                  <c:v>-1.77151346901034</c:v>
                </c:pt>
                <c:pt idx="112">
                  <c:v>-1.8151070572411481</c:v>
                </c:pt>
                <c:pt idx="113">
                  <c:v>-1.8405646957506261</c:v>
                </c:pt>
                <c:pt idx="114">
                  <c:v>-1.8476320202299623</c:v>
                </c:pt>
                <c:pt idx="115">
                  <c:v>-1.836238416309105</c:v>
                </c:pt>
                <c:pt idx="116">
                  <c:v>-1.8064977251122087</c:v>
                </c:pt>
                <c:pt idx="117">
                  <c:v>-1.7587071057947461</c:v>
                </c:pt>
                <c:pt idx="118">
                  <c:v>-1.6933440664274579</c:v>
                </c:pt>
                <c:pt idx="119">
                  <c:v>-1.6110616928935559</c:v>
                </c:pt>
                <c:pt idx="120">
                  <c:v>-1.5126821234704542</c:v>
                </c:pt>
                <c:pt idx="121">
                  <c:v>-1.3991883342958649</c:v>
                </c:pt>
                <c:pt idx="122">
                  <c:v>-1.2717143177951638</c:v>
                </c:pt>
                <c:pt idx="123">
                  <c:v>-1.1315337522039139</c:v>
                </c:pt>
                <c:pt idx="124">
                  <c:v>-0.98004727539597314</c:v>
                </c:pt>
                <c:pt idx="125">
                  <c:v>-0.81876849017283559</c:v>
                </c:pt>
                <c:pt idx="126">
                  <c:v>-0.64930884084476814</c:v>
                </c:pt>
                <c:pt idx="127">
                  <c:v>-0.47336151221194905</c:v>
                </c:pt>
                <c:pt idx="128">
                  <c:v>-0.29268451182161603</c:v>
                </c:pt>
                <c:pt idx="129">
                  <c:v>-0.10908310453779957</c:v>
                </c:pt>
                <c:pt idx="130">
                  <c:v>7.5608225068475032E-2</c:v>
                </c:pt>
                <c:pt idx="131">
                  <c:v>0.25954410228262514</c:v>
                </c:pt>
                <c:pt idx="132">
                  <c:v>0.44088670062063751</c:v>
                </c:pt>
                <c:pt idx="133">
                  <c:v>0.61782410478382022</c:v>
                </c:pt>
                <c:pt idx="134">
                  <c:v>0.78858841471749819</c:v>
                </c:pt>
                <c:pt idx="135">
                  <c:v>0.95147340988398821</c:v>
                </c:pt>
                <c:pt idx="136">
                  <c:v>1.1048515972542143</c:v>
                </c:pt>
                <c:pt idx="137">
                  <c:v>1.2471904726800547</c:v>
                </c:pt>
                <c:pt idx="138">
                  <c:v>1.3770678331692379</c:v>
                </c:pt>
                <c:pt idx="139">
                  <c:v>1.4931859870674991</c:v>
                </c:pt>
                <c:pt idx="140">
                  <c:v>1.5943847201646428</c:v>
                </c:pt>
                <c:pt idx="141">
                  <c:v>1.6796528881714223</c:v>
                </c:pt>
                <c:pt idx="142">
                  <c:v>1.7481385197390171</c:v>
                </c:pt>
                <c:pt idx="143">
                  <c:v>1.7991573290751481</c:v>
                </c:pt>
                <c:pt idx="144">
                  <c:v>1.8321995531015034</c:v>
                </c:pt>
                <c:pt idx="145">
                  <c:v>1.8469350448379165</c:v>
                </c:pt>
                <c:pt idx="146">
                  <c:v>1.8432165721218667</c:v>
                </c:pt>
                <c:pt idx="147">
                  <c:v>1.8210812887035663</c:v>
                </c:pt>
                <c:pt idx="148">
                  <c:v>1.78075036301798</c:v>
                </c:pt>
                <c:pt idx="149">
                  <c:v>1.7226267683429275</c:v>
                </c:pt>
                <c:pt idx="150">
                  <c:v>1.6472912564232955</c:v>
                </c:pt>
                <c:pt idx="151">
                  <c:v>1.5554965547915751</c:v>
                </c:pt>
                <c:pt idx="152">
                  <c:v>1.4481598457631772</c:v>
                </c:pt>
                <c:pt idx="153">
                  <c:v>1.326353602253912</c:v>
                </c:pt>
                <c:pt idx="154">
                  <c:v>1.1912948719851366</c:v>
                </c:pt>
                <c:pt idx="155">
                  <c:v>1.0443331171452166</c:v>
                </c:pt>
                <c:pt idx="156">
                  <c:v>0.88693673100941117</c:v>
                </c:pt>
                <c:pt idx="157">
                  <c:v>0.72067836623966597</c:v>
                </c:pt>
                <c:pt idx="158">
                  <c:v>0.547219221459045</c:v>
                </c:pt>
                <c:pt idx="159">
                  <c:v>0.36829244310423198</c:v>
                </c:pt>
                <c:pt idx="160">
                  <c:v>0.18568580839922016</c:v>
                </c:pt>
                <c:pt idx="161">
                  <c:v>1.2238624762463401E-3</c:v>
                </c:pt>
                <c:pt idx="162">
                  <c:v>-0.18325031187602853</c:v>
                </c:pt>
                <c:pt idx="163">
                  <c:v>-0.36589350968654416</c:v>
                </c:pt>
                <c:pt idx="164">
                  <c:v>-0.54488082049657915</c:v>
                </c:pt>
                <c:pt idx="165">
                  <c:v>-0.71842386226187138</c:v>
                </c:pt>
                <c:pt idx="166">
                  <c:v>-0.88478865027479792</c:v>
                </c:pt>
                <c:pt idx="167">
                  <c:v>-1.0423129225664158</c:v>
                </c:pt>
                <c:pt idx="168">
                  <c:v>-1.1894227486785995</c:v>
                </c:pt>
                <c:pt idx="169">
                  <c:v>-1.3246482558568693</c:v>
                </c:pt>
                <c:pt idx="170">
                  <c:v>-1.4466383155331188</c:v>
                </c:pt>
                <c:pt idx="171">
                  <c:v>-1.5541740433556108</c:v>
                </c:pt>
                <c:pt idx="172">
                  <c:v>-1.6461809778785252</c:v>
                </c:pt>
                <c:pt idx="173">
                  <c:v>-1.7217398162255646</c:v>
                </c:pt>
                <c:pt idx="174">
                  <c:v>-1.7800955994603913</c:v>
                </c:pt>
                <c:pt idx="175">
                  <c:v>-1.8206652558867844</c:v>
                </c:pt>
                <c:pt idx="176">
                  <c:v>-1.8430434269082743</c:v>
                </c:pt>
                <c:pt idx="177">
                  <c:v>-1.8470065172372545</c:v>
                </c:pt>
                <c:pt idx="178">
                  <c:v>-1.8325149289851814</c:v>
                </c:pt>
                <c:pt idx="179">
                  <c:v>-1.7997134573115887</c:v>
                </c:pt>
                <c:pt idx="180">
                  <c:v>-1.7489298436787115</c:v>
                </c:pt>
                <c:pt idx="181">
                  <c:v>-1.6806715011671396</c:v>
                </c:pt>
                <c:pt idx="182">
                  <c:v>-1.5956204445720439</c:v>
                </c:pt>
                <c:pt idx="183">
                  <c:v>-1.4946264759367751</c:v>
                </c:pt>
                <c:pt idx="184">
                  <c:v>-1.3786986936117764</c:v>
                </c:pt>
                <c:pt idx="185">
                  <c:v>-1.2489954096774012</c:v>
                </c:pt>
                <c:pt idx="186">
                  <c:v>-1.1068125764725196</c:v>
                </c:pt>
                <c:pt idx="187">
                  <c:v>-0.95357083786712526</c:v>
                </c:pt>
                <c:pt idx="188">
                  <c:v>-0.79080133465836799</c:v>
                </c:pt>
                <c:pt idx="189">
                  <c:v>-0.62013040591787705</c:v>
                </c:pt>
                <c:pt idx="190">
                  <c:v>-0.44326333914930693</c:v>
                </c:pt>
                <c:pt idx="191">
                  <c:v>-0.26196733161933605</c:v>
                </c:pt>
                <c:pt idx="192">
                  <c:v>-7.8053833106717985E-2</c:v>
                </c:pt>
                <c:pt idx="193">
                  <c:v>0.10663955350514204</c:v>
                </c:pt>
                <c:pt idx="194">
                  <c:v>0.29026743294872193</c:v>
                </c:pt>
                <c:pt idx="195">
                  <c:v>0.47099505615194115</c:v>
                </c:pt>
                <c:pt idx="196">
                  <c:v>0.64701665244435613</c:v>
                </c:pt>
                <c:pt idx="197">
                  <c:v>0.81657347222081089</c:v>
                </c:pt>
                <c:pt idx="198">
                  <c:v>0.97797135978614402</c:v>
                </c:pt>
                <c:pt idx="199">
                  <c:v>1.1295976807988397</c:v>
                </c:pt>
                <c:pt idx="200">
                  <c:v>1.2699374351803479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8-460E-99C6-0C3D09CBA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wave1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Sheet1!$F$2:$F$202</c:f>
              <c:numCache>
                <c:formatCode>General</c:formatCode>
                <c:ptCount val="201"/>
                <c:pt idx="0">
                  <c:v>0</c:v>
                </c:pt>
                <c:pt idx="1">
                  <c:v>2.8520678638645678</c:v>
                </c:pt>
                <c:pt idx="2">
                  <c:v>4.4783564824048279</c:v>
                </c:pt>
                <c:pt idx="3">
                  <c:v>4.3460010459877747</c:v>
                </c:pt>
                <c:pt idx="4">
                  <c:v>2.606593763295725</c:v>
                </c:pt>
                <c:pt idx="5">
                  <c:v>5.2724752372234223E-16</c:v>
                </c:pt>
                <c:pt idx="6">
                  <c:v>-2.4547975597338088</c:v>
                </c:pt>
                <c:pt idx="7">
                  <c:v>-3.8545571456806997</c:v>
                </c:pt>
                <c:pt idx="8">
                  <c:v>-3.7406377658333221</c:v>
                </c:pt>
                <c:pt idx="9">
                  <c:v>-2.24351604336844</c:v>
                </c:pt>
                <c:pt idx="10">
                  <c:v>-9.076122984363597E-16</c:v>
                </c:pt>
                <c:pt idx="11">
                  <c:v>2.1128638401716588</c:v>
                </c:pt>
                <c:pt idx="12">
                  <c:v>3.3176480808735818</c:v>
                </c:pt>
                <c:pt idx="13">
                  <c:v>3.219596761969548</c:v>
                </c:pt>
                <c:pt idx="14">
                  <c:v>1.9310121537648022</c:v>
                </c:pt>
                <c:pt idx="15">
                  <c:v>1.1717837171484822E-15</c:v>
                </c:pt>
                <c:pt idx="16">
                  <c:v>-1.8185587603358229</c:v>
                </c:pt>
                <c:pt idx="17">
                  <c:v>-2.8555261661791769</c:v>
                </c:pt>
                <c:pt idx="18">
                  <c:v>-2.7711326138994785</c:v>
                </c:pt>
                <c:pt idx="19">
                  <c:v>-1.6620375633190958</c:v>
                </c:pt>
                <c:pt idx="20">
                  <c:v>-1.3447514559929366E-15</c:v>
                </c:pt>
                <c:pt idx="21">
                  <c:v>1.5652480306187073</c:v>
                </c:pt>
                <c:pt idx="22">
                  <c:v>2.4577741481208837</c:v>
                </c:pt>
                <c:pt idx="23">
                  <c:v>2.3851359445149027</c:v>
                </c:pt>
                <c:pt idx="24">
                  <c:v>1.4305289878668133</c:v>
                </c:pt>
                <c:pt idx="25">
                  <c:v>1.4467978806029133E-15</c:v>
                </c:pt>
                <c:pt idx="26">
                  <c:v>-1.3472214650371341</c:v>
                </c:pt>
                <c:pt idx="27">
                  <c:v>-2.1154258135389448</c:v>
                </c:pt>
                <c:pt idx="28">
                  <c:v>-2.0529055323020895</c:v>
                </c:pt>
                <c:pt idx="29">
                  <c:v>-1.2312677103642311</c:v>
                </c:pt>
                <c:pt idx="30">
                  <c:v>-1.4943245713317551E-15</c:v>
                </c:pt>
                <c:pt idx="31">
                  <c:v>1.1595642609685135</c:v>
                </c:pt>
                <c:pt idx="32">
                  <c:v>1.8207638712484371</c:v>
                </c:pt>
                <c:pt idx="33">
                  <c:v>1.7669521664995378</c:v>
                </c:pt>
                <c:pt idx="34">
                  <c:v>1.0597619394251117</c:v>
                </c:pt>
                <c:pt idx="35">
                  <c:v>1.500539924232063E-15</c:v>
                </c:pt>
                <c:pt idx="36">
                  <c:v>-0.99804620859302673</c:v>
                </c:pt>
                <c:pt idx="37">
                  <c:v>-1.5671459871700966</c:v>
                </c:pt>
                <c:pt idx="38">
                  <c:v>-1.5208298236676892</c:v>
                </c:pt>
                <c:pt idx="39">
                  <c:v>-0.91214555437488276</c:v>
                </c:pt>
                <c:pt idx="40">
                  <c:v>-1.4760304934066157E-15</c:v>
                </c:pt>
                <c:pt idx="41">
                  <c:v>0.85902633257680105</c:v>
                </c:pt>
                <c:pt idx="42">
                  <c:v>1.3488550513798236</c:v>
                </c:pt>
                <c:pt idx="43">
                  <c:v>1.3089903600158943</c:v>
                </c:pt>
                <c:pt idx="44">
                  <c:v>0.78509095431111398</c:v>
                </c:pt>
                <c:pt idx="45">
                  <c:v>1.4292351215118991E-15</c:v>
                </c:pt>
                <c:pt idx="46">
                  <c:v>-0.73937081640801683</c:v>
                </c:pt>
                <c:pt idx="47">
                  <c:v>-1.1609703017638453</c:v>
                </c:pt>
                <c:pt idx="48">
                  <c:v>-1.1266584439291882</c:v>
                </c:pt>
                <c:pt idx="49">
                  <c:v>-0.67573404659473668</c:v>
                </c:pt>
                <c:pt idx="50">
                  <c:v>-1.3668378547468087E-15</c:v>
                </c:pt>
                <c:pt idx="51">
                  <c:v>0.63638235921828712</c:v>
                </c:pt>
                <c:pt idx="52">
                  <c:v>0.99925639912074782</c:v>
                </c:pt>
                <c:pt idx="53">
                  <c:v>0.96972390939649733</c:v>
                </c:pt>
                <c:pt idx="54">
                  <c:v>0.58160968384607448</c:v>
                </c:pt>
                <c:pt idx="55">
                  <c:v>4.7055847553130194E-15</c:v>
                </c:pt>
                <c:pt idx="56">
                  <c:v>-0.54773937263537864</c:v>
                </c:pt>
                <c:pt idx="57">
                  <c:v>-0.8600679532170098</c:v>
                </c:pt>
                <c:pt idx="58">
                  <c:v>-0.83464910374765411</c:v>
                </c:pt>
                <c:pt idx="59">
                  <c:v>-0.50059609405237004</c:v>
                </c:pt>
                <c:pt idx="60">
                  <c:v>-1.2150940650167367E-15</c:v>
                </c:pt>
                <c:pt idx="61">
                  <c:v>0.47144364702932512</c:v>
                </c:pt>
                <c:pt idx="62">
                  <c:v>0.74026734760145307</c:v>
                </c:pt>
                <c:pt idx="63">
                  <c:v>0.71838914111163255</c:v>
                </c:pt>
                <c:pt idx="64">
                  <c:v>0.43086705111810553</c:v>
                </c:pt>
                <c:pt idx="65">
                  <c:v>-1.3943006179647017E-15</c:v>
                </c:pt>
                <c:pt idx="66">
                  <c:v>-0.40577530743306156</c:v>
                </c:pt>
                <c:pt idx="67">
                  <c:v>-0.63715401076759226</c:v>
                </c:pt>
                <c:pt idx="68">
                  <c:v>-0.61832326393192771</c:v>
                </c:pt>
                <c:pt idx="69">
                  <c:v>-0.37085070767609485</c:v>
                </c:pt>
                <c:pt idx="70">
                  <c:v>-1.0501911270743835E-15</c:v>
                </c:pt>
                <c:pt idx="71">
                  <c:v>0.34925404374396429</c:v>
                </c:pt>
                <c:pt idx="72">
                  <c:v>0.54840353927888297</c:v>
                </c:pt>
                <c:pt idx="73">
                  <c:v>0.53219576527538714</c:v>
                </c:pt>
                <c:pt idx="74">
                  <c:v>0.31919416215969371</c:v>
                </c:pt>
                <c:pt idx="75">
                  <c:v>2.8407390625835162E-15</c:v>
                </c:pt>
                <c:pt idx="76">
                  <c:v>-0.30060574124913758</c:v>
                </c:pt>
                <c:pt idx="77">
                  <c:v>-0.47201530055706764</c:v>
                </c:pt>
                <c:pt idx="78">
                  <c:v>-0.4580651401921631</c:v>
                </c:pt>
                <c:pt idx="79">
                  <c:v>-0.27473296139916048</c:v>
                </c:pt>
                <c:pt idx="80">
                  <c:v>-8.8914368243996888E-16</c:v>
                </c:pt>
                <c:pt idx="81">
                  <c:v>0.25873375925229852</c:v>
                </c:pt>
                <c:pt idx="82">
                  <c:v>0.40626733418413796</c:v>
                </c:pt>
                <c:pt idx="83">
                  <c:v>0.39426031988565652</c:v>
                </c:pt>
                <c:pt idx="84">
                  <c:v>0.23646485126313618</c:v>
                </c:pt>
                <c:pt idx="85">
                  <c:v>-5.7388513843611267E-16</c:v>
                </c:pt>
                <c:pt idx="86">
                  <c:v>-0.22269421035889497</c:v>
                </c:pt>
                <c:pt idx="87">
                  <c:v>-0.34967753509323241</c:v>
                </c:pt>
                <c:pt idx="88">
                  <c:v>-0.33934300211347906</c:v>
                </c:pt>
                <c:pt idx="89">
                  <c:v>-0.20352718362634525</c:v>
                </c:pt>
                <c:pt idx="90">
                  <c:v>-7.4103057085001422E-16</c:v>
                </c:pt>
                <c:pt idx="91">
                  <c:v>0.19167468315957958</c:v>
                </c:pt>
                <c:pt idx="92">
                  <c:v>0.30097024363139779</c:v>
                </c:pt>
                <c:pt idx="93">
                  <c:v>0.29207522866309704</c:v>
                </c:pt>
                <c:pt idx="94">
                  <c:v>0.17517747036652367</c:v>
                </c:pt>
                <c:pt idx="95">
                  <c:v>1.7007664133427642E-15</c:v>
                </c:pt>
                <c:pt idx="96">
                  <c:v>-0.16497592867419664</c:v>
                </c:pt>
                <c:pt idx="97">
                  <c:v>-0.25904748936013738</c:v>
                </c:pt>
                <c:pt idx="98">
                  <c:v>-0.25139147902650005</c:v>
                </c:pt>
                <c:pt idx="99">
                  <c:v>-0.15077664603443033</c:v>
                </c:pt>
                <c:pt idx="100">
                  <c:v>-6.0996549885318345E-16</c:v>
                </c:pt>
                <c:pt idx="101">
                  <c:v>0.14199609772801178</c:v>
                </c:pt>
                <c:pt idx="102">
                  <c:v>0.22296424036515528</c:v>
                </c:pt>
                <c:pt idx="103">
                  <c:v>0.21637465120340088</c:v>
                </c:pt>
                <c:pt idx="104">
                  <c:v>0.12977466190045242</c:v>
                </c:pt>
                <c:pt idx="105">
                  <c:v>-2.0995440771376492E-16</c:v>
                </c:pt>
                <c:pt idx="106">
                  <c:v>-0.12221717393573114</c:v>
                </c:pt>
                <c:pt idx="107">
                  <c:v>-0.19190710013984322</c:v>
                </c:pt>
                <c:pt idx="108">
                  <c:v>-0.18623538818695756</c:v>
                </c:pt>
                <c:pt idx="109">
                  <c:v>-0.11169808663558396</c:v>
                </c:pt>
                <c:pt idx="110">
                  <c:v>-1.8074142445301583E-15</c:v>
                </c:pt>
                <c:pt idx="111">
                  <c:v>0.10519329646261298</c:v>
                </c:pt>
                <c:pt idx="112">
                  <c:v>0.16517597182296551</c:v>
                </c:pt>
                <c:pt idx="113">
                  <c:v>0.16029428410513116</c:v>
                </c:pt>
                <c:pt idx="114">
                  <c:v>9.6139434118663825E-2</c:v>
                </c:pt>
                <c:pt idx="115">
                  <c:v>1.0111866326377736E-15</c:v>
                </c:pt>
                <c:pt idx="116">
                  <c:v>-9.0540709331817196E-2</c:v>
                </c:pt>
                <c:pt idx="117">
                  <c:v>-0.14216827646178651</c:v>
                </c:pt>
                <c:pt idx="118">
                  <c:v>-0.13796656890463063</c:v>
                </c:pt>
                <c:pt idx="119">
                  <c:v>-8.2747977794926528E-2</c:v>
                </c:pt>
                <c:pt idx="120">
                  <c:v>-4.0170739606382961E-16</c:v>
                </c:pt>
                <c:pt idx="121">
                  <c:v>7.7929110713078106E-2</c:v>
                </c:pt>
                <c:pt idx="122">
                  <c:v>0.1223653695452626</c:v>
                </c:pt>
                <c:pt idx="123">
                  <c:v>0.1187489263362128</c:v>
                </c:pt>
                <c:pt idx="124">
                  <c:v>7.1221844521136488E-2</c:v>
                </c:pt>
                <c:pt idx="125">
                  <c:v>-5.7599962005697263E-17</c:v>
                </c:pt>
                <c:pt idx="126">
                  <c:v>-6.7074207186456763E-2</c:v>
                </c:pt>
                <c:pt idx="127">
                  <c:v>-0.10532084960580751</c:v>
                </c:pt>
                <c:pt idx="128">
                  <c:v>-0.10220814808949036</c:v>
                </c:pt>
                <c:pt idx="129">
                  <c:v>-6.1301209675047159E-2</c:v>
                </c:pt>
                <c:pt idx="130">
                  <c:v>3.9674565186686017E-16</c:v>
                </c:pt>
                <c:pt idx="131">
                  <c:v>5.7731305137770556E-2</c:v>
                </c:pt>
                <c:pt idx="132">
                  <c:v>9.0650495339582526E-2</c:v>
                </c:pt>
                <c:pt idx="133">
                  <c:v>8.797136831625775E-2</c:v>
                </c:pt>
                <c:pt idx="134">
                  <c:v>5.2762440131817807E-2</c:v>
                </c:pt>
                <c:pt idx="135">
                  <c:v>5.9764098099517496E-16</c:v>
                </c:pt>
                <c:pt idx="136">
                  <c:v>-4.9689794821508253E-2</c:v>
                </c:pt>
                <c:pt idx="137">
                  <c:v>-7.8023604405660946E-2</c:v>
                </c:pt>
                <c:pt idx="138">
                  <c:v>-7.5717658406829605E-2</c:v>
                </c:pt>
                <c:pt idx="139">
                  <c:v>-4.5413053077105817E-2</c:v>
                </c:pt>
                <c:pt idx="140">
                  <c:v>-2.5720530880900482E-16</c:v>
                </c:pt>
                <c:pt idx="141">
                  <c:v>4.2768402749796909E-2</c:v>
                </c:pt>
                <c:pt idx="142">
                  <c:v>6.7155538661385711E-2</c:v>
                </c:pt>
                <c:pt idx="143">
                  <c:v>6.5170792546985976E-2</c:v>
                </c:pt>
                <c:pt idx="144">
                  <c:v>3.9087377017279296E-2</c:v>
                </c:pt>
                <c:pt idx="145">
                  <c:v>1.3993594239619518E-20</c:v>
                </c:pt>
                <c:pt idx="146">
                  <c:v>-3.681110538570901E-2</c:v>
                </c:pt>
                <c:pt idx="147">
                  <c:v>-5.7801307786976119E-2</c:v>
                </c:pt>
                <c:pt idx="148">
                  <c:v>-5.6093020975133717E-2</c:v>
                </c:pt>
                <c:pt idx="149">
                  <c:v>-3.3642817176305635E-2</c:v>
                </c:pt>
                <c:pt idx="150">
                  <c:v>-5.9882338875780008E-16</c:v>
                </c:pt>
                <c:pt idx="151">
                  <c:v>3.168361202650332E-2</c:v>
                </c:pt>
                <c:pt idx="152">
                  <c:v>4.9750046660050194E-2</c:v>
                </c:pt>
                <c:pt idx="153">
                  <c:v>4.8279710575075636E-2</c:v>
                </c:pt>
                <c:pt idx="154">
                  <c:v>2.8956641093056058E-2</c:v>
                </c:pt>
                <c:pt idx="155">
                  <c:v>3.5142108824011438E-16</c:v>
                </c:pt>
                <c:pt idx="156">
                  <c:v>-2.7270337593168416E-2</c:v>
                </c:pt>
                <c:pt idx="157">
                  <c:v>-4.2820261987823849E-2</c:v>
                </c:pt>
                <c:pt idx="158">
                  <c:v>-4.1554731991460758E-2</c:v>
                </c:pt>
                <c:pt idx="159">
                  <c:v>-2.4923211959271333E-2</c:v>
                </c:pt>
                <c:pt idx="160">
                  <c:v>-1.6132259010233065E-16</c:v>
                </c:pt>
                <c:pt idx="161">
                  <c:v>2.3471797086244271E-2</c:v>
                </c:pt>
                <c:pt idx="162">
                  <c:v>3.6855741045530743E-2</c:v>
                </c:pt>
                <c:pt idx="163">
                  <c:v>3.5766489283255778E-2</c:v>
                </c:pt>
                <c:pt idx="164">
                  <c:v>2.1451607331477558E-2</c:v>
                </c:pt>
                <c:pt idx="165">
                  <c:v>1.7364134857177733E-17</c:v>
                </c:pt>
                <c:pt idx="166">
                  <c:v>-2.020236297316096E-2</c:v>
                </c:pt>
                <c:pt idx="167">
                  <c:v>-3.1722030294944734E-2</c:v>
                </c:pt>
                <c:pt idx="168">
                  <c:v>-3.0784502614819693E-2</c:v>
                </c:pt>
                <c:pt idx="169">
                  <c:v>-1.846356953734089E-2</c:v>
                </c:pt>
                <c:pt idx="170">
                  <c:v>8.9619815404788183E-17</c:v>
                </c:pt>
                <c:pt idx="171">
                  <c:v>1.7388334953633979E-2</c:v>
                </c:pt>
                <c:pt idx="172">
                  <c:v>2.7303404503256308E-2</c:v>
                </c:pt>
                <c:pt idx="173">
                  <c:v>2.6496466950853319E-2</c:v>
                </c:pt>
                <c:pt idx="174">
                  <c:v>1.589174157406794E-2</c:v>
                </c:pt>
                <c:pt idx="175">
                  <c:v>2.0572196051272356E-16</c:v>
                </c:pt>
                <c:pt idx="176">
                  <c:v>-1.4966278591343467E-2</c:v>
                </c:pt>
                <c:pt idx="177">
                  <c:v>-2.3500258039512459E-2</c:v>
                </c:pt>
                <c:pt idx="178">
                  <c:v>-2.280572045168237E-2</c:v>
                </c:pt>
                <c:pt idx="179">
                  <c:v>-1.3678148732085921E-2</c:v>
                </c:pt>
                <c:pt idx="180">
                  <c:v>-9.9602678939609367E-17</c:v>
                </c:pt>
                <c:pt idx="181">
                  <c:v>1.2881595360968704E-2</c:v>
                </c:pt>
                <c:pt idx="182">
                  <c:v>2.0226859542655476E-2</c:v>
                </c:pt>
                <c:pt idx="183">
                  <c:v>1.9629065500883058E-2</c:v>
                </c:pt>
                <c:pt idx="184">
                  <c:v>1.1772891716434811E-2</c:v>
                </c:pt>
                <c:pt idx="185">
                  <c:v>1.905506373106124E-17</c:v>
                </c:pt>
                <c:pt idx="186">
                  <c:v>-1.1087291876265842E-2</c:v>
                </c:pt>
                <c:pt idx="187">
                  <c:v>-1.7409419346392896E-2</c:v>
                </c:pt>
                <c:pt idx="188">
                  <c:v>-1.6894893246380042E-2</c:v>
                </c:pt>
                <c:pt idx="189">
                  <c:v>-1.0133021805923889E-2</c:v>
                </c:pt>
                <c:pt idx="190">
                  <c:v>-1.9675935629309395E-16</c:v>
                </c:pt>
                <c:pt idx="191">
                  <c:v>9.5429205548547974E-3</c:v>
                </c:pt>
                <c:pt idx="192">
                  <c:v>1.4984426096369094E-2</c:v>
                </c:pt>
                <c:pt idx="193">
                  <c:v>1.4541569378009118E-2</c:v>
                </c:pt>
                <c:pt idx="194">
                  <c:v>8.7215726936476917E-3</c:v>
                </c:pt>
                <c:pt idx="195">
                  <c:v>1.1995921373710745E-16</c:v>
                </c:pt>
                <c:pt idx="196">
                  <c:v>-8.213667839954206E-3</c:v>
                </c:pt>
                <c:pt idx="197">
                  <c:v>-1.289721506329663E-2</c:v>
                </c:pt>
                <c:pt idx="198">
                  <c:v>-1.2516044753390798E-2</c:v>
                </c:pt>
                <c:pt idx="199">
                  <c:v>-7.5067271843935078E-3</c:v>
                </c:pt>
                <c:pt idx="200">
                  <c:v>-6.0736787986883362E-17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3-4417-AA3B-06D43B711D6C}"/>
            </c:ext>
          </c:extLst>
        </c:ser>
        <c:ser>
          <c:idx val="1"/>
          <c:order val="1"/>
          <c:tx>
            <c:v>wave2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Sheet1!$G$2:$G$202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1.6942135886762761</c:v>
                </c:pt>
                <c:pt idx="21">
                  <c:v>2.633807449588752</c:v>
                </c:pt>
                <c:pt idx="22">
                  <c:v>2.5305343823255884</c:v>
                </c:pt>
                <c:pt idx="23">
                  <c:v>1.5026326559609058</c:v>
                </c:pt>
                <c:pt idx="24">
                  <c:v>3.0092001513589812E-16</c:v>
                </c:pt>
                <c:pt idx="25">
                  <c:v>-1.3871047673318777</c:v>
                </c:pt>
                <c:pt idx="26">
                  <c:v>-2.1563791566641979</c:v>
                </c:pt>
                <c:pt idx="27">
                  <c:v>-2.0718263205311542</c:v>
                </c:pt>
                <c:pt idx="28">
                  <c:v>-1.2302515660144406</c:v>
                </c:pt>
                <c:pt idx="29">
                  <c:v>-4.9274494121690304E-16</c:v>
                </c:pt>
                <c:pt idx="30">
                  <c:v>1.1356653307556879</c:v>
                </c:pt>
                <c:pt idx="31">
                  <c:v>1.7654939308573419</c:v>
                </c:pt>
                <c:pt idx="32">
                  <c:v>1.6962679236552567</c:v>
                </c:pt>
                <c:pt idx="33">
                  <c:v>1.0072447911183695</c:v>
                </c:pt>
                <c:pt idx="34">
                  <c:v>6.0513815519682143E-16</c:v>
                </c:pt>
                <c:pt idx="35">
                  <c:v>-0.92980413149415853</c:v>
                </c:pt>
                <c:pt idx="36">
                  <c:v>-1.4454641755654378</c:v>
                </c:pt>
                <c:pt idx="37">
                  <c:v>-1.3887867145562929</c:v>
                </c:pt>
                <c:pt idx="38">
                  <c:v>-0.82466228636621741</c:v>
                </c:pt>
                <c:pt idx="39">
                  <c:v>-6.605936233606857E-16</c:v>
                </c:pt>
                <c:pt idx="40">
                  <c:v>0.76125923679323115</c:v>
                </c:pt>
                <c:pt idx="41">
                  <c:v>1.1834459730079359</c:v>
                </c:pt>
                <c:pt idx="42">
                  <c:v>1.1370423926733706</c:v>
                </c:pt>
                <c:pt idx="43">
                  <c:v>0.67517637475162373</c:v>
                </c:pt>
                <c:pt idx="44">
                  <c:v>6.7606039341575876E-16</c:v>
                </c:pt>
                <c:pt idx="45">
                  <c:v>-0.62326634822729166</c:v>
                </c:pt>
                <c:pt idx="46">
                  <c:v>-0.96892361270789162</c:v>
                </c:pt>
                <c:pt idx="47">
                  <c:v>-0.93093157443505858</c:v>
                </c:pt>
                <c:pt idx="48">
                  <c:v>-0.5527876617608587</c:v>
                </c:pt>
                <c:pt idx="49">
                  <c:v>-6.6421372203297681E-16</c:v>
                </c:pt>
                <c:pt idx="50">
                  <c:v>0.51028732665229404</c:v>
                </c:pt>
                <c:pt idx="51">
                  <c:v>0.79328755910737081</c:v>
                </c:pt>
                <c:pt idx="52">
                  <c:v>0.76218230900128681</c:v>
                </c:pt>
                <c:pt idx="53">
                  <c:v>0.45258425860568458</c:v>
                </c:pt>
                <c:pt idx="54">
                  <c:v>6.3444756765225314E-16</c:v>
                </c:pt>
                <c:pt idx="55">
                  <c:v>-0.41778792723618285</c:v>
                </c:pt>
                <c:pt idx="56">
                  <c:v>-0.64948892067537167</c:v>
                </c:pt>
                <c:pt idx="57">
                  <c:v>-0.62402209583133861</c:v>
                </c:pt>
                <c:pt idx="58">
                  <c:v>-0.37054465087947225</c:v>
                </c:pt>
                <c:pt idx="59">
                  <c:v>-5.9364769697419789E-16</c:v>
                </c:pt>
                <c:pt idx="60">
                  <c:v>0.34205582429296738</c:v>
                </c:pt>
                <c:pt idx="61">
                  <c:v>0.53175655314035275</c:v>
                </c:pt>
                <c:pt idx="62">
                  <c:v>0.51090608045729247</c:v>
                </c:pt>
                <c:pt idx="63">
                  <c:v>0.30337630106356667</c:v>
                </c:pt>
                <c:pt idx="64">
                  <c:v>5.4679232925753144E-16</c:v>
                </c:pt>
                <c:pt idx="65">
                  <c:v>-0.28005162261809097</c:v>
                </c:pt>
                <c:pt idx="66">
                  <c:v>-0.43536544320675291</c:v>
                </c:pt>
                <c:pt idx="67">
                  <c:v>-0.41829452000491912</c:v>
                </c:pt>
                <c:pt idx="68">
                  <c:v>-0.2483835074357866</c:v>
                </c:pt>
                <c:pt idx="69">
                  <c:v>-4.9741743945586956E-16</c:v>
                </c:pt>
                <c:pt idx="70">
                  <c:v>0.22928687588682031</c:v>
                </c:pt>
                <c:pt idx="71">
                  <c:v>0.3564470771807941</c:v>
                </c:pt>
                <c:pt idx="72">
                  <c:v>0.34247058737202074</c:v>
                </c:pt>
                <c:pt idx="73">
                  <c:v>0.20335921609505311</c:v>
                </c:pt>
                <c:pt idx="74">
                  <c:v>1.6289317393842928E-15</c:v>
                </c:pt>
                <c:pt idx="75">
                  <c:v>-0.18772421656571511</c:v>
                </c:pt>
                <c:pt idx="76">
                  <c:v>-0.29183418393267735</c:v>
                </c:pt>
                <c:pt idx="77">
                  <c:v>-0.28039120190615302</c:v>
                </c:pt>
                <c:pt idx="78">
                  <c:v>-0.16649644413885006</c:v>
                </c:pt>
                <c:pt idx="79">
                  <c:v>-4.0011465709798579E-16</c:v>
                </c:pt>
                <c:pt idx="80">
                  <c:v>0.15369558919982129</c:v>
                </c:pt>
                <c:pt idx="81">
                  <c:v>0.23893362118509887</c:v>
                </c:pt>
                <c:pt idx="82">
                  <c:v>0.22956489989306542</c:v>
                </c:pt>
                <c:pt idx="83">
                  <c:v>0.1363157590946075</c:v>
                </c:pt>
                <c:pt idx="84">
                  <c:v>-4.3673324948624833E-16</c:v>
                </c:pt>
                <c:pt idx="85">
                  <c:v>-0.12583530549033439</c:v>
                </c:pt>
                <c:pt idx="86">
                  <c:v>-0.19562230360852553</c:v>
                </c:pt>
                <c:pt idx="87">
                  <c:v>-0.18795184336972071</c:v>
                </c:pt>
                <c:pt idx="88">
                  <c:v>-0.11160590409992424</c:v>
                </c:pt>
                <c:pt idx="89">
                  <c:v>-3.129056879263652E-16</c:v>
                </c:pt>
                <c:pt idx="90">
                  <c:v>0.10302523442789888</c:v>
                </c:pt>
                <c:pt idx="91">
                  <c:v>0.16016199595225747</c:v>
                </c:pt>
                <c:pt idx="92">
                  <c:v>0.15388195426448653</c:v>
                </c:pt>
                <c:pt idx="93">
                  <c:v>9.1375185911680465E-2</c:v>
                </c:pt>
                <c:pt idx="94">
                  <c:v>8.0512207093759035E-16</c:v>
                </c:pt>
                <c:pt idx="95">
                  <c:v>-8.4349927769189662E-2</c:v>
                </c:pt>
                <c:pt idx="96">
                  <c:v>-0.13112955156046463</c:v>
                </c:pt>
                <c:pt idx="97">
                  <c:v>-0.12598788830007449</c:v>
                </c:pt>
                <c:pt idx="98">
                  <c:v>-7.4811674774110409E-2</c:v>
                </c:pt>
                <c:pt idx="99">
                  <c:v>-2.3971080586927374E-16</c:v>
                </c:pt>
                <c:pt idx="100">
                  <c:v>6.9059879884541667E-2</c:v>
                </c:pt>
                <c:pt idx="101">
                  <c:v>0.10735979649987694</c:v>
                </c:pt>
                <c:pt idx="102">
                  <c:v>0.10315015866662451</c:v>
                </c:pt>
                <c:pt idx="103">
                  <c:v>6.1250618826832769E-2</c:v>
                </c:pt>
                <c:pt idx="104">
                  <c:v>-1.471722464346339E-16</c:v>
                </c:pt>
                <c:pt idx="105">
                  <c:v>-5.6541447465346048E-2</c:v>
                </c:pt>
                <c:pt idx="106">
                  <c:v>-8.7898767038643202E-2</c:v>
                </c:pt>
                <c:pt idx="107">
                  <c:v>-8.4452207085238679E-2</c:v>
                </c:pt>
                <c:pt idx="108">
                  <c:v>-5.0147765278584965E-2</c:v>
                </c:pt>
                <c:pt idx="109">
                  <c:v>-1.8076832822872326E-16</c:v>
                </c:pt>
                <c:pt idx="110">
                  <c:v>4.6292221863421683E-2</c:v>
                </c:pt>
                <c:pt idx="111">
                  <c:v>7.196542373217435E-2</c:v>
                </c:pt>
                <c:pt idx="112">
                  <c:v>6.9143619105995216E-2</c:v>
                </c:pt>
                <c:pt idx="113">
                  <c:v>4.1057517631713961E-2</c:v>
                </c:pt>
                <c:pt idx="114">
                  <c:v>3.9465368601193301E-16</c:v>
                </c:pt>
                <c:pt idx="115">
                  <c:v>-3.7900865667892435E-2</c:v>
                </c:pt>
                <c:pt idx="116">
                  <c:v>-5.8920305567819242E-2</c:v>
                </c:pt>
                <c:pt idx="117">
                  <c:v>-5.6610007341188553E-2</c:v>
                </c:pt>
                <c:pt idx="118">
                  <c:v>-3.3615052330125517E-2</c:v>
                </c:pt>
                <c:pt idx="119">
                  <c:v>-1.3463626011118148E-16</c:v>
                </c:pt>
                <c:pt idx="120">
                  <c:v>3.103060429058084E-2</c:v>
                </c:pt>
                <c:pt idx="121">
                  <c:v>4.8239866149125399E-2</c:v>
                </c:pt>
                <c:pt idx="122">
                  <c:v>4.6348353942201347E-2</c:v>
                </c:pt>
                <c:pt idx="123">
                  <c:v>2.7521677108999578E-2</c:v>
                </c:pt>
                <c:pt idx="124">
                  <c:v>-4.4082583710792396E-17</c:v>
                </c:pt>
                <c:pt idx="125">
                  <c:v>-2.5405710019291972E-2</c:v>
                </c:pt>
                <c:pt idx="126">
                  <c:v>-3.9495461940654508E-2</c:v>
                </c:pt>
                <c:pt idx="127">
                  <c:v>-3.7946822727023481E-2</c:v>
                </c:pt>
                <c:pt idx="128">
                  <c:v>-2.2532843425420175E-2</c:v>
                </c:pt>
                <c:pt idx="129">
                  <c:v>-3.6098156296085946E-16</c:v>
                </c:pt>
                <c:pt idx="130">
                  <c:v>2.0800436096575843E-2</c:v>
                </c:pt>
                <c:pt idx="131">
                  <c:v>3.2336149297834897E-2</c:v>
                </c:pt>
                <c:pt idx="132">
                  <c:v>3.1068230748212571E-2</c:v>
                </c:pt>
                <c:pt idx="133">
                  <c:v>1.8448331866682426E-2</c:v>
                </c:pt>
                <c:pt idx="134">
                  <c:v>1.9210732115862471E-16</c:v>
                </c:pt>
                <c:pt idx="135">
                  <c:v>-1.7029956709700065E-2</c:v>
                </c:pt>
                <c:pt idx="136">
                  <c:v>-2.6474599866258323E-2</c:v>
                </c:pt>
                <c:pt idx="137">
                  <c:v>-2.5436515957284557E-2</c:v>
                </c:pt>
                <c:pt idx="138">
                  <c:v>-1.5104216642241651E-2</c:v>
                </c:pt>
                <c:pt idx="139">
                  <c:v>-7.2595165546048724E-17</c:v>
                </c:pt>
                <c:pt idx="140">
                  <c:v>1.394294928181823E-2</c:v>
                </c:pt>
                <c:pt idx="141">
                  <c:v>2.1675569085939931E-2</c:v>
                </c:pt>
                <c:pt idx="142">
                  <c:v>2.0825657865387658E-2</c:v>
                </c:pt>
                <c:pt idx="143">
                  <c:v>1.236628666615543E-2</c:v>
                </c:pt>
                <c:pt idx="144">
                  <c:v>-9.9015992481581782E-18</c:v>
                </c:pt>
                <c:pt idx="145">
                  <c:v>-1.1415521365630977E-2</c:v>
                </c:pt>
                <c:pt idx="146">
                  <c:v>-1.7746455001125441E-2</c:v>
                </c:pt>
                <c:pt idx="147">
                  <c:v>-1.7050606547473292E-2</c:v>
                </c:pt>
                <c:pt idx="148">
                  <c:v>-1.01246591949596E-2</c:v>
                </c:pt>
                <c:pt idx="149">
                  <c:v>6.4875482329034114E-17</c:v>
                </c:pt>
                <c:pt idx="150">
                  <c:v>9.3462384044608812E-3</c:v>
                </c:pt>
                <c:pt idx="151">
                  <c:v>1.4529568467535963E-2</c:v>
                </c:pt>
                <c:pt idx="152">
                  <c:v>1.3959855939049172E-2</c:v>
                </c:pt>
                <c:pt idx="153">
                  <c:v>8.2893698473471469E-3</c:v>
                </c:pt>
                <c:pt idx="154">
                  <c:v>9.2959562211513213E-17</c:v>
                </c:pt>
                <c:pt idx="155">
                  <c:v>-7.6520528073306488E-3</c:v>
                </c:pt>
                <c:pt idx="156">
                  <c:v>-1.1895804533323772E-2</c:v>
                </c:pt>
                <c:pt idx="157">
                  <c:v>-1.1429363365837853E-2</c:v>
                </c:pt>
                <c:pt idx="158">
                  <c:v>-6.7867620176605458E-3</c:v>
                </c:pt>
                <c:pt idx="159">
                  <c:v>-3.8055628957178343E-17</c:v>
                </c:pt>
                <c:pt idx="160">
                  <c:v>6.264970957538335E-3</c:v>
                </c:pt>
                <c:pt idx="161">
                  <c:v>9.7394610040366612E-3</c:v>
                </c:pt>
                <c:pt idx="162">
                  <c:v>9.3575712757143093E-3</c:v>
                </c:pt>
                <c:pt idx="163">
                  <c:v>5.5565307776802349E-3</c:v>
                </c:pt>
                <c:pt idx="164">
                  <c:v>1.9694888593531525E-21</c:v>
                </c:pt>
                <c:pt idx="165">
                  <c:v>-5.1293243900769735E-3</c:v>
                </c:pt>
                <c:pt idx="166">
                  <c:v>-7.9739962424085816E-3</c:v>
                </c:pt>
                <c:pt idx="167">
                  <c:v>-7.6613313775464919E-3</c:v>
                </c:pt>
                <c:pt idx="168">
                  <c:v>-4.5493026281111003E-3</c:v>
                </c:pt>
                <c:pt idx="169">
                  <c:v>-8.0169335180492041E-17</c:v>
                </c:pt>
                <c:pt idx="170">
                  <c:v>4.1995356206689996E-3</c:v>
                </c:pt>
                <c:pt idx="171">
                  <c:v>6.5285559485881821E-3</c:v>
                </c:pt>
                <c:pt idx="172">
                  <c:v>6.2725676083186044E-3</c:v>
                </c:pt>
                <c:pt idx="173">
                  <c:v>3.7246539666930287E-3</c:v>
                </c:pt>
                <c:pt idx="174">
                  <c:v>4.4753048363371985E-17</c:v>
                </c:pt>
                <c:pt idx="175">
                  <c:v>-3.4382889612881557E-3</c:v>
                </c:pt>
                <c:pt idx="176">
                  <c:v>-5.3451295282993198E-3</c:v>
                </c:pt>
                <c:pt idx="177">
                  <c:v>-5.1355440016912441E-3</c:v>
                </c:pt>
                <c:pt idx="178">
                  <c:v>-3.0494887471055197E-3</c:v>
                </c:pt>
                <c:pt idx="179">
                  <c:v>-1.954228152932376E-17</c:v>
                </c:pt>
                <c:pt idx="180">
                  <c:v>2.8150329105751737E-3</c:v>
                </c:pt>
                <c:pt idx="181">
                  <c:v>4.3762219240038643E-3</c:v>
                </c:pt>
                <c:pt idx="182">
                  <c:v>4.2046278079697803E-3</c:v>
                </c:pt>
                <c:pt idx="183">
                  <c:v>2.4967102184205725E-3</c:v>
                </c:pt>
                <c:pt idx="184">
                  <c:v>2.0008683075596604E-18</c:v>
                </c:pt>
                <c:pt idx="185">
                  <c:v>-2.3047540148145276E-3</c:v>
                </c:pt>
                <c:pt idx="186">
                  <c:v>-3.5829474714760647E-3</c:v>
                </c:pt>
                <c:pt idx="187">
                  <c:v>-3.4424580916317337E-3</c:v>
                </c:pt>
                <c:pt idx="188">
                  <c:v>-2.0441334373449581E-3</c:v>
                </c:pt>
                <c:pt idx="189">
                  <c:v>9.8232382218613474E-18</c:v>
                </c:pt>
                <c:pt idx="190">
                  <c:v>1.8869729902086093E-3</c:v>
                </c:pt>
                <c:pt idx="191">
                  <c:v>2.9334692815604527E-3</c:v>
                </c:pt>
                <c:pt idx="192">
                  <c:v>2.8184463058010378E-3</c:v>
                </c:pt>
                <c:pt idx="193">
                  <c:v>1.6735949085493131E-3</c:v>
                </c:pt>
                <c:pt idx="194">
                  <c:v>2.1449469799591636E-17</c:v>
                </c:pt>
                <c:pt idx="195">
                  <c:v>-1.544922817311313E-3</c:v>
                </c:pt>
                <c:pt idx="196">
                  <c:v>-2.401721514023107E-3</c:v>
                </c:pt>
                <c:pt idx="197">
                  <c:v>-2.3075486664583364E-3</c:v>
                </c:pt>
                <c:pt idx="198">
                  <c:v>-1.3702236198240485E-3</c:v>
                </c:pt>
                <c:pt idx="199">
                  <c:v>-9.8785272555654303E-18</c:v>
                </c:pt>
                <c:pt idx="200">
                  <c:v>1.2648758216646297E-3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3-4417-AA3B-06D43B711D6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Sheet1!$H$2:$H$202</c:f>
              <c:numCache>
                <c:formatCode>General</c:formatCode>
                <c:ptCount val="201"/>
                <c:pt idx="0">
                  <c:v>0</c:v>
                </c:pt>
                <c:pt idx="1">
                  <c:v>2.8520678638645678</c:v>
                </c:pt>
                <c:pt idx="2">
                  <c:v>4.4783564824048279</c:v>
                </c:pt>
                <c:pt idx="3">
                  <c:v>4.3460010459877747</c:v>
                </c:pt>
                <c:pt idx="4">
                  <c:v>2.606593763295725</c:v>
                </c:pt>
                <c:pt idx="5">
                  <c:v>5.2724752372234223E-16</c:v>
                </c:pt>
                <c:pt idx="6">
                  <c:v>-2.4547975597338088</c:v>
                </c:pt>
                <c:pt idx="7">
                  <c:v>-3.8545571456806997</c:v>
                </c:pt>
                <c:pt idx="8">
                  <c:v>-3.7406377658333221</c:v>
                </c:pt>
                <c:pt idx="9">
                  <c:v>-2.24351604336844</c:v>
                </c:pt>
                <c:pt idx="10">
                  <c:v>-9.076122984363597E-16</c:v>
                </c:pt>
                <c:pt idx="11">
                  <c:v>2.1128638401716588</c:v>
                </c:pt>
                <c:pt idx="12">
                  <c:v>3.3176480808735818</c:v>
                </c:pt>
                <c:pt idx="13">
                  <c:v>3.219596761969548</c:v>
                </c:pt>
                <c:pt idx="14">
                  <c:v>1.9310121537648022</c:v>
                </c:pt>
                <c:pt idx="15">
                  <c:v>1.1717837171484822E-15</c:v>
                </c:pt>
                <c:pt idx="16">
                  <c:v>-1.8185587603358229</c:v>
                </c:pt>
                <c:pt idx="17">
                  <c:v>-2.8555261661791769</c:v>
                </c:pt>
                <c:pt idx="18">
                  <c:v>-2.7711326138994785</c:v>
                </c:pt>
                <c:pt idx="19">
                  <c:v>-1.6620375633190958</c:v>
                </c:pt>
                <c:pt idx="20">
                  <c:v>1.6942135886762748</c:v>
                </c:pt>
                <c:pt idx="21">
                  <c:v>4.1990554802074591</c:v>
                </c:pt>
                <c:pt idx="22">
                  <c:v>4.9883085304464725</c:v>
                </c:pt>
                <c:pt idx="23">
                  <c:v>3.8877686004758085</c:v>
                </c:pt>
                <c:pt idx="24">
                  <c:v>1.4305289878668135</c:v>
                </c:pt>
                <c:pt idx="25">
                  <c:v>-1.3871047673318762</c:v>
                </c:pt>
                <c:pt idx="26">
                  <c:v>-3.5036006217013318</c:v>
                </c:pt>
                <c:pt idx="27">
                  <c:v>-4.187252134070099</c:v>
                </c:pt>
                <c:pt idx="28">
                  <c:v>-3.2831570983165301</c:v>
                </c:pt>
                <c:pt idx="29">
                  <c:v>-1.2312677103642315</c:v>
                </c:pt>
                <c:pt idx="30">
                  <c:v>1.1356653307556863</c:v>
                </c:pt>
                <c:pt idx="31">
                  <c:v>2.9250581918258556</c:v>
                </c:pt>
                <c:pt idx="32">
                  <c:v>3.5170317949036938</c:v>
                </c:pt>
                <c:pt idx="33">
                  <c:v>2.7741969576179075</c:v>
                </c:pt>
                <c:pt idx="34">
                  <c:v>1.0597619394251123</c:v>
                </c:pt>
                <c:pt idx="35">
                  <c:v>-0.92980413149415697</c:v>
                </c:pt>
                <c:pt idx="36">
                  <c:v>-2.4435103841584644</c:v>
                </c:pt>
                <c:pt idx="37">
                  <c:v>-2.9559327017263897</c:v>
                </c:pt>
                <c:pt idx="38">
                  <c:v>-2.3454921100339066</c:v>
                </c:pt>
                <c:pt idx="39">
                  <c:v>-0.91214555437488343</c:v>
                </c:pt>
                <c:pt idx="40">
                  <c:v>0.76125923679322971</c:v>
                </c:pt>
                <c:pt idx="41">
                  <c:v>2.0424723055847371</c:v>
                </c:pt>
                <c:pt idx="42">
                  <c:v>2.4858974440531942</c:v>
                </c:pt>
                <c:pt idx="43">
                  <c:v>1.984166734767518</c:v>
                </c:pt>
                <c:pt idx="44">
                  <c:v>0.78509095431111464</c:v>
                </c:pt>
                <c:pt idx="45">
                  <c:v>-0.62326634822729021</c:v>
                </c:pt>
                <c:pt idx="46">
                  <c:v>-1.7082944291159086</c:v>
                </c:pt>
                <c:pt idx="47">
                  <c:v>-2.0919018761989037</c:v>
                </c:pt>
                <c:pt idx="48">
                  <c:v>-1.6794461056900469</c:v>
                </c:pt>
                <c:pt idx="49">
                  <c:v>-0.67573404659473735</c:v>
                </c:pt>
                <c:pt idx="50">
                  <c:v>0.51028732665229271</c:v>
                </c:pt>
                <c:pt idx="51">
                  <c:v>1.4296699183256578</c:v>
                </c:pt>
                <c:pt idx="52">
                  <c:v>1.7614387081220346</c:v>
                </c:pt>
                <c:pt idx="53">
                  <c:v>1.4223081680021818</c:v>
                </c:pt>
                <c:pt idx="54">
                  <c:v>0.58160968384607514</c:v>
                </c:pt>
                <c:pt idx="55">
                  <c:v>-0.41778792723617814</c:v>
                </c:pt>
                <c:pt idx="56">
                  <c:v>-1.1972282933107503</c:v>
                </c:pt>
                <c:pt idx="57">
                  <c:v>-1.4840900490483484</c:v>
                </c:pt>
                <c:pt idx="58">
                  <c:v>-1.2051937546271263</c:v>
                </c:pt>
                <c:pt idx="59">
                  <c:v>-0.5005960940523706</c:v>
                </c:pt>
                <c:pt idx="60">
                  <c:v>0.34205582429296616</c:v>
                </c:pt>
                <c:pt idx="61">
                  <c:v>1.0032002001696778</c:v>
                </c:pt>
                <c:pt idx="62">
                  <c:v>1.2511734280587454</c:v>
                </c:pt>
                <c:pt idx="63">
                  <c:v>1.0217654421751992</c:v>
                </c:pt>
                <c:pt idx="64">
                  <c:v>0.43086705111810608</c:v>
                </c:pt>
                <c:pt idx="65">
                  <c:v>-0.28005162261809236</c:v>
                </c:pt>
                <c:pt idx="66">
                  <c:v>-0.84114075063981453</c:v>
                </c:pt>
                <c:pt idx="67">
                  <c:v>-1.0554485307725114</c:v>
                </c:pt>
                <c:pt idx="68">
                  <c:v>-0.86670677136771435</c:v>
                </c:pt>
                <c:pt idx="69">
                  <c:v>-0.37085070767609535</c:v>
                </c:pt>
                <c:pt idx="70">
                  <c:v>0.22928687588681926</c:v>
                </c:pt>
                <c:pt idx="71">
                  <c:v>0.70570112092475834</c:v>
                </c:pt>
                <c:pt idx="72">
                  <c:v>0.89087412665090371</c:v>
                </c:pt>
                <c:pt idx="73">
                  <c:v>0.73555498137044029</c:v>
                </c:pt>
                <c:pt idx="74">
                  <c:v>0.31919416215969532</c:v>
                </c:pt>
                <c:pt idx="75">
                  <c:v>-0.18772421656571228</c:v>
                </c:pt>
                <c:pt idx="76">
                  <c:v>-0.59243992518181487</c:v>
                </c:pt>
                <c:pt idx="77">
                  <c:v>-0.75240650246322072</c:v>
                </c:pt>
                <c:pt idx="78">
                  <c:v>-0.62456158433101316</c:v>
                </c:pt>
                <c:pt idx="79">
                  <c:v>-0.27473296139916087</c:v>
                </c:pt>
                <c:pt idx="80">
                  <c:v>0.1536955891998204</c:v>
                </c:pt>
                <c:pt idx="81">
                  <c:v>0.49766738043739739</c:v>
                </c:pt>
                <c:pt idx="82">
                  <c:v>0.63583223407720335</c:v>
                </c:pt>
                <c:pt idx="83">
                  <c:v>0.53057607898026404</c:v>
                </c:pt>
                <c:pt idx="84">
                  <c:v>0.23646485126313574</c:v>
                </c:pt>
                <c:pt idx="85">
                  <c:v>-0.12583530549033498</c:v>
                </c:pt>
                <c:pt idx="86">
                  <c:v>-0.41831651396742053</c:v>
                </c:pt>
                <c:pt idx="87">
                  <c:v>-0.53762937846295311</c:v>
                </c:pt>
                <c:pt idx="88">
                  <c:v>-0.45094890621340333</c:v>
                </c:pt>
                <c:pt idx="89">
                  <c:v>-0.20352718362634556</c:v>
                </c:pt>
                <c:pt idx="90">
                  <c:v>0.10302523442789814</c:v>
                </c:pt>
                <c:pt idx="91">
                  <c:v>0.35183667911183703</c:v>
                </c:pt>
                <c:pt idx="92">
                  <c:v>0.45485219789588432</c:v>
                </c:pt>
                <c:pt idx="93">
                  <c:v>0.38345041457477752</c:v>
                </c:pt>
                <c:pt idx="94">
                  <c:v>0.17517747036652448</c:v>
                </c:pt>
                <c:pt idx="95">
                  <c:v>-8.4349927769187955E-2</c:v>
                </c:pt>
                <c:pt idx="96">
                  <c:v>-0.29610548023466127</c:v>
                </c:pt>
                <c:pt idx="97">
                  <c:v>-0.3850353776602119</c:v>
                </c:pt>
                <c:pt idx="98">
                  <c:v>-0.32620315380061049</c:v>
                </c:pt>
                <c:pt idx="99">
                  <c:v>-0.15077664603443058</c:v>
                </c:pt>
                <c:pt idx="100">
                  <c:v>6.9059879884541056E-2</c:v>
                </c:pt>
                <c:pt idx="101">
                  <c:v>0.24935589422788873</c:v>
                </c:pt>
                <c:pt idx="102">
                  <c:v>0.3261143990317798</c:v>
                </c:pt>
                <c:pt idx="103">
                  <c:v>0.27762527003023363</c:v>
                </c:pt>
                <c:pt idx="104">
                  <c:v>0.12977466190045228</c:v>
                </c:pt>
                <c:pt idx="105">
                  <c:v>-5.6541447465346256E-2</c:v>
                </c:pt>
                <c:pt idx="106">
                  <c:v>-0.21011594097437436</c:v>
                </c:pt>
                <c:pt idx="107">
                  <c:v>-0.2763593072250819</c:v>
                </c:pt>
                <c:pt idx="108">
                  <c:v>-0.23638315346554253</c:v>
                </c:pt>
                <c:pt idx="109">
                  <c:v>-0.11169808663558414</c:v>
                </c:pt>
                <c:pt idx="110">
                  <c:v>4.6292221863419879E-2</c:v>
                </c:pt>
                <c:pt idx="111">
                  <c:v>0.17715872019478734</c:v>
                </c:pt>
                <c:pt idx="112">
                  <c:v>0.23431959092896071</c:v>
                </c:pt>
                <c:pt idx="113">
                  <c:v>0.20135180173684514</c:v>
                </c:pt>
                <c:pt idx="114">
                  <c:v>9.6139434118664213E-2</c:v>
                </c:pt>
                <c:pt idx="115">
                  <c:v>-3.7900865667891422E-2</c:v>
                </c:pt>
                <c:pt idx="116">
                  <c:v>-0.14946101489963642</c:v>
                </c:pt>
                <c:pt idx="117">
                  <c:v>-0.19877828380297508</c:v>
                </c:pt>
                <c:pt idx="118">
                  <c:v>-0.17158162123475615</c:v>
                </c:pt>
                <c:pt idx="119">
                  <c:v>-8.2747977794926666E-2</c:v>
                </c:pt>
                <c:pt idx="120">
                  <c:v>3.1030604290580438E-2</c:v>
                </c:pt>
                <c:pt idx="121">
                  <c:v>0.12616897686220352</c:v>
                </c:pt>
                <c:pt idx="122">
                  <c:v>0.16871372348746394</c:v>
                </c:pt>
                <c:pt idx="123">
                  <c:v>0.14627060344521237</c:v>
                </c:pt>
                <c:pt idx="124">
                  <c:v>7.1221844521136446E-2</c:v>
                </c:pt>
                <c:pt idx="125">
                  <c:v>-2.5405710019292031E-2</c:v>
                </c:pt>
                <c:pt idx="126">
                  <c:v>-0.10656966912711127</c:v>
                </c:pt>
                <c:pt idx="127">
                  <c:v>-0.143267672332831</c:v>
                </c:pt>
                <c:pt idx="128">
                  <c:v>-0.12474099151491053</c:v>
                </c:pt>
                <c:pt idx="129">
                  <c:v>-6.130120967504752E-2</c:v>
                </c:pt>
                <c:pt idx="130">
                  <c:v>2.0800436096576239E-2</c:v>
                </c:pt>
                <c:pt idx="131">
                  <c:v>9.006745443560546E-2</c:v>
                </c:pt>
                <c:pt idx="132">
                  <c:v>0.1217187260877951</c:v>
                </c:pt>
                <c:pt idx="133">
                  <c:v>0.10641970018294017</c:v>
                </c:pt>
                <c:pt idx="134">
                  <c:v>5.2762440131818002E-2</c:v>
                </c:pt>
                <c:pt idx="135">
                  <c:v>-1.7029956709699468E-2</c:v>
                </c:pt>
                <c:pt idx="136">
                  <c:v>-7.6164394687766576E-2</c:v>
                </c:pt>
                <c:pt idx="137">
                  <c:v>-0.1034601203629455</c:v>
                </c:pt>
                <c:pt idx="138">
                  <c:v>-9.0821875049071257E-2</c:v>
                </c:pt>
                <c:pt idx="139">
                  <c:v>-4.5413053077105886E-2</c:v>
                </c:pt>
                <c:pt idx="140">
                  <c:v>1.3942949281817973E-2</c:v>
                </c:pt>
                <c:pt idx="141">
                  <c:v>6.4443971835736844E-2</c:v>
                </c:pt>
                <c:pt idx="142">
                  <c:v>8.7981196526773373E-2</c:v>
                </c:pt>
                <c:pt idx="143">
                  <c:v>7.7537079213141402E-2</c:v>
                </c:pt>
                <c:pt idx="144">
                  <c:v>3.9087377017279289E-2</c:v>
                </c:pt>
                <c:pt idx="145">
                  <c:v>-1.1415521365630977E-2</c:v>
                </c:pt>
                <c:pt idx="146">
                  <c:v>-5.4557560386834451E-2</c:v>
                </c:pt>
                <c:pt idx="147">
                  <c:v>-7.4851914334449404E-2</c:v>
                </c:pt>
                <c:pt idx="148">
                  <c:v>-6.6217680170093315E-2</c:v>
                </c:pt>
                <c:pt idx="149">
                  <c:v>-3.3642817176305573E-2</c:v>
                </c:pt>
                <c:pt idx="150">
                  <c:v>9.3462384044602827E-3</c:v>
                </c:pt>
                <c:pt idx="151">
                  <c:v>4.6213180494039281E-2</c:v>
                </c:pt>
                <c:pt idx="152">
                  <c:v>6.3709902599099366E-2</c:v>
                </c:pt>
                <c:pt idx="153">
                  <c:v>5.6569080422422785E-2</c:v>
                </c:pt>
                <c:pt idx="154">
                  <c:v>2.8956641093056151E-2</c:v>
                </c:pt>
                <c:pt idx="155">
                  <c:v>-7.6520528073302976E-3</c:v>
                </c:pt>
                <c:pt idx="156">
                  <c:v>-3.9166142126492186E-2</c:v>
                </c:pt>
                <c:pt idx="157">
                  <c:v>-5.42496253536617E-2</c:v>
                </c:pt>
                <c:pt idx="158">
                  <c:v>-4.8341494009121307E-2</c:v>
                </c:pt>
                <c:pt idx="159">
                  <c:v>-2.4923211959271371E-2</c:v>
                </c:pt>
                <c:pt idx="160">
                  <c:v>6.2649709575381737E-3</c:v>
                </c:pt>
                <c:pt idx="161">
                  <c:v>3.3211258090280929E-2</c:v>
                </c:pt>
                <c:pt idx="162">
                  <c:v>4.6213312321245051E-2</c:v>
                </c:pt>
                <c:pt idx="163">
                  <c:v>4.1323020060936015E-2</c:v>
                </c:pt>
                <c:pt idx="164">
                  <c:v>2.1451607331477558E-2</c:v>
                </c:pt>
                <c:pt idx="165">
                  <c:v>-5.1293243900769562E-3</c:v>
                </c:pt>
                <c:pt idx="166">
                  <c:v>-2.8176359215569539E-2</c:v>
                </c:pt>
                <c:pt idx="167">
                  <c:v>-3.9383361672491228E-2</c:v>
                </c:pt>
                <c:pt idx="168">
                  <c:v>-3.5333805242930796E-2</c:v>
                </c:pt>
                <c:pt idx="169">
                  <c:v>-1.8463569537340969E-2</c:v>
                </c:pt>
                <c:pt idx="170">
                  <c:v>4.1995356206690889E-3</c:v>
                </c:pt>
                <c:pt idx="171">
                  <c:v>2.3916890902222161E-2</c:v>
                </c:pt>
                <c:pt idx="172">
                  <c:v>3.3575972111574912E-2</c:v>
                </c:pt>
                <c:pt idx="173">
                  <c:v>3.0221120917546349E-2</c:v>
                </c:pt>
                <c:pt idx="174">
                  <c:v>1.5891741574067985E-2</c:v>
                </c:pt>
                <c:pt idx="175">
                  <c:v>-3.4382889612879501E-3</c:v>
                </c:pt>
                <c:pt idx="176">
                  <c:v>-2.0311408119642785E-2</c:v>
                </c:pt>
                <c:pt idx="177">
                  <c:v>-2.8635802041203702E-2</c:v>
                </c:pt>
                <c:pt idx="178">
                  <c:v>-2.5855209198787889E-2</c:v>
                </c:pt>
                <c:pt idx="179">
                  <c:v>-1.367814873208594E-2</c:v>
                </c:pt>
                <c:pt idx="180">
                  <c:v>2.815032910575074E-3</c:v>
                </c:pt>
                <c:pt idx="181">
                  <c:v>1.7257817284972568E-2</c:v>
                </c:pt>
                <c:pt idx="182">
                  <c:v>2.4431487350625256E-2</c:v>
                </c:pt>
                <c:pt idx="183">
                  <c:v>2.2125775719303631E-2</c:v>
                </c:pt>
                <c:pt idx="184">
                  <c:v>1.1772891716434813E-2</c:v>
                </c:pt>
                <c:pt idx="185">
                  <c:v>-2.3047540148145086E-3</c:v>
                </c:pt>
                <c:pt idx="186">
                  <c:v>-1.4670239347741906E-2</c:v>
                </c:pt>
                <c:pt idx="187">
                  <c:v>-2.0851877438024628E-2</c:v>
                </c:pt>
                <c:pt idx="188">
                  <c:v>-1.8939026683725001E-2</c:v>
                </c:pt>
                <c:pt idx="189">
                  <c:v>-1.0133021805923879E-2</c:v>
                </c:pt>
                <c:pt idx="190">
                  <c:v>1.8869729902084127E-3</c:v>
                </c:pt>
                <c:pt idx="191">
                  <c:v>1.247638983641525E-2</c:v>
                </c:pt>
                <c:pt idx="192">
                  <c:v>1.7802872402170131E-2</c:v>
                </c:pt>
                <c:pt idx="193">
                  <c:v>1.621516428655843E-2</c:v>
                </c:pt>
                <c:pt idx="194">
                  <c:v>8.7215726936477125E-3</c:v>
                </c:pt>
                <c:pt idx="195">
                  <c:v>-1.5449228173111931E-3</c:v>
                </c:pt>
                <c:pt idx="196">
                  <c:v>-1.0615389353977312E-2</c:v>
                </c:pt>
                <c:pt idx="197">
                  <c:v>-1.5204763729754966E-2</c:v>
                </c:pt>
                <c:pt idx="198">
                  <c:v>-1.3886268373214846E-2</c:v>
                </c:pt>
                <c:pt idx="199">
                  <c:v>-7.5067271843935173E-3</c:v>
                </c:pt>
                <c:pt idx="200">
                  <c:v>1.264875821664569E-3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83-4417-AA3B-06D43B71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  <c:max val="5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E-4AD5-95EA-7CE42BE02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wave1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Sheet1!$F$2:$F$202</c:f>
              <c:numCache>
                <c:formatCode>General</c:formatCode>
                <c:ptCount val="201"/>
                <c:pt idx="0">
                  <c:v>0</c:v>
                </c:pt>
                <c:pt idx="1">
                  <c:v>2.8520678638645678</c:v>
                </c:pt>
                <c:pt idx="2">
                  <c:v>4.4783564824048279</c:v>
                </c:pt>
                <c:pt idx="3">
                  <c:v>4.3460010459877747</c:v>
                </c:pt>
                <c:pt idx="4">
                  <c:v>2.606593763295725</c:v>
                </c:pt>
                <c:pt idx="5">
                  <c:v>5.2724752372234223E-16</c:v>
                </c:pt>
                <c:pt idx="6">
                  <c:v>-2.4547975597338088</c:v>
                </c:pt>
                <c:pt idx="7">
                  <c:v>-3.8545571456806997</c:v>
                </c:pt>
                <c:pt idx="8">
                  <c:v>-3.7406377658333221</c:v>
                </c:pt>
                <c:pt idx="9">
                  <c:v>-2.24351604336844</c:v>
                </c:pt>
                <c:pt idx="10">
                  <c:v>-9.076122984363597E-16</c:v>
                </c:pt>
                <c:pt idx="11">
                  <c:v>2.1128638401716588</c:v>
                </c:pt>
                <c:pt idx="12">
                  <c:v>3.3176480808735818</c:v>
                </c:pt>
                <c:pt idx="13">
                  <c:v>3.219596761969548</c:v>
                </c:pt>
                <c:pt idx="14">
                  <c:v>1.9310121537648022</c:v>
                </c:pt>
                <c:pt idx="15">
                  <c:v>1.1717837171484822E-15</c:v>
                </c:pt>
                <c:pt idx="16">
                  <c:v>-1.8185587603358229</c:v>
                </c:pt>
                <c:pt idx="17">
                  <c:v>-2.8555261661791769</c:v>
                </c:pt>
                <c:pt idx="18">
                  <c:v>-2.7711326138994785</c:v>
                </c:pt>
                <c:pt idx="19">
                  <c:v>-1.6620375633190958</c:v>
                </c:pt>
                <c:pt idx="20">
                  <c:v>-1.3447514559929366E-15</c:v>
                </c:pt>
                <c:pt idx="21">
                  <c:v>1.5652480306187073</c:v>
                </c:pt>
                <c:pt idx="22">
                  <c:v>2.4577741481208837</c:v>
                </c:pt>
                <c:pt idx="23">
                  <c:v>2.3851359445149027</c:v>
                </c:pt>
                <c:pt idx="24">
                  <c:v>1.4305289878668133</c:v>
                </c:pt>
                <c:pt idx="25">
                  <c:v>1.4467978806029133E-15</c:v>
                </c:pt>
                <c:pt idx="26">
                  <c:v>-1.3472214650371341</c:v>
                </c:pt>
                <c:pt idx="27">
                  <c:v>-2.1154258135389448</c:v>
                </c:pt>
                <c:pt idx="28">
                  <c:v>-2.0529055323020895</c:v>
                </c:pt>
                <c:pt idx="29">
                  <c:v>-1.2312677103642311</c:v>
                </c:pt>
                <c:pt idx="30">
                  <c:v>-1.4943245713317551E-15</c:v>
                </c:pt>
                <c:pt idx="31">
                  <c:v>1.1595642609685135</c:v>
                </c:pt>
                <c:pt idx="32">
                  <c:v>1.8207638712484371</c:v>
                </c:pt>
                <c:pt idx="33">
                  <c:v>1.7669521664995378</c:v>
                </c:pt>
                <c:pt idx="34">
                  <c:v>1.0597619394251117</c:v>
                </c:pt>
                <c:pt idx="35">
                  <c:v>1.500539924232063E-15</c:v>
                </c:pt>
                <c:pt idx="36">
                  <c:v>-0.99804620859302673</c:v>
                </c:pt>
                <c:pt idx="37">
                  <c:v>-1.5671459871700966</c:v>
                </c:pt>
                <c:pt idx="38">
                  <c:v>-1.5208298236676892</c:v>
                </c:pt>
                <c:pt idx="39">
                  <c:v>-0.91214555437488276</c:v>
                </c:pt>
                <c:pt idx="40">
                  <c:v>-1.4760304934066157E-15</c:v>
                </c:pt>
                <c:pt idx="41">
                  <c:v>0.85902633257680105</c:v>
                </c:pt>
                <c:pt idx="42">
                  <c:v>1.3488550513798236</c:v>
                </c:pt>
                <c:pt idx="43">
                  <c:v>1.3089903600158943</c:v>
                </c:pt>
                <c:pt idx="44">
                  <c:v>0.78509095431111398</c:v>
                </c:pt>
                <c:pt idx="45">
                  <c:v>1.4292351215118991E-15</c:v>
                </c:pt>
                <c:pt idx="46">
                  <c:v>-0.73937081640801683</c:v>
                </c:pt>
                <c:pt idx="47">
                  <c:v>-1.1609703017638453</c:v>
                </c:pt>
                <c:pt idx="48">
                  <c:v>-1.1266584439291882</c:v>
                </c:pt>
                <c:pt idx="49">
                  <c:v>-0.67573404659473668</c:v>
                </c:pt>
                <c:pt idx="50">
                  <c:v>-1.3668378547468087E-15</c:v>
                </c:pt>
                <c:pt idx="51">
                  <c:v>0.63638235921828712</c:v>
                </c:pt>
                <c:pt idx="52">
                  <c:v>0.99925639912074782</c:v>
                </c:pt>
                <c:pt idx="53">
                  <c:v>0.96972390939649733</c:v>
                </c:pt>
                <c:pt idx="54">
                  <c:v>0.58160968384607448</c:v>
                </c:pt>
                <c:pt idx="55">
                  <c:v>4.7055847553130194E-15</c:v>
                </c:pt>
                <c:pt idx="56">
                  <c:v>-0.54773937263537864</c:v>
                </c:pt>
                <c:pt idx="57">
                  <c:v>-0.8600679532170098</c:v>
                </c:pt>
                <c:pt idx="58">
                  <c:v>-0.83464910374765411</c:v>
                </c:pt>
                <c:pt idx="59">
                  <c:v>-0.50059609405237004</c:v>
                </c:pt>
                <c:pt idx="60">
                  <c:v>-1.2150940650167367E-15</c:v>
                </c:pt>
                <c:pt idx="61">
                  <c:v>0.47144364702932512</c:v>
                </c:pt>
                <c:pt idx="62">
                  <c:v>0.74026734760145307</c:v>
                </c:pt>
                <c:pt idx="63">
                  <c:v>0.71838914111163255</c:v>
                </c:pt>
                <c:pt idx="64">
                  <c:v>0.43086705111810553</c:v>
                </c:pt>
                <c:pt idx="65">
                  <c:v>-1.3943006179647017E-15</c:v>
                </c:pt>
                <c:pt idx="66">
                  <c:v>-0.40577530743306156</c:v>
                </c:pt>
                <c:pt idx="67">
                  <c:v>-0.63715401076759226</c:v>
                </c:pt>
                <c:pt idx="68">
                  <c:v>-0.61832326393192771</c:v>
                </c:pt>
                <c:pt idx="69">
                  <c:v>-0.37085070767609485</c:v>
                </c:pt>
                <c:pt idx="70">
                  <c:v>-1.0501911270743835E-15</c:v>
                </c:pt>
                <c:pt idx="71">
                  <c:v>0.34925404374396429</c:v>
                </c:pt>
                <c:pt idx="72">
                  <c:v>0.54840353927888297</c:v>
                </c:pt>
                <c:pt idx="73">
                  <c:v>0.53219576527538714</c:v>
                </c:pt>
                <c:pt idx="74">
                  <c:v>0.31919416215969371</c:v>
                </c:pt>
                <c:pt idx="75">
                  <c:v>2.8407390625835162E-15</c:v>
                </c:pt>
                <c:pt idx="76">
                  <c:v>-0.30060574124913758</c:v>
                </c:pt>
                <c:pt idx="77">
                  <c:v>-0.47201530055706764</c:v>
                </c:pt>
                <c:pt idx="78">
                  <c:v>-0.4580651401921631</c:v>
                </c:pt>
                <c:pt idx="79">
                  <c:v>-0.27473296139916048</c:v>
                </c:pt>
                <c:pt idx="80">
                  <c:v>-8.8914368243996888E-16</c:v>
                </c:pt>
                <c:pt idx="81">
                  <c:v>0.25873375925229852</c:v>
                </c:pt>
                <c:pt idx="82">
                  <c:v>0.40626733418413796</c:v>
                </c:pt>
                <c:pt idx="83">
                  <c:v>0.39426031988565652</c:v>
                </c:pt>
                <c:pt idx="84">
                  <c:v>0.23646485126313618</c:v>
                </c:pt>
                <c:pt idx="85">
                  <c:v>-5.7388513843611267E-16</c:v>
                </c:pt>
                <c:pt idx="86">
                  <c:v>-0.22269421035889497</c:v>
                </c:pt>
                <c:pt idx="87">
                  <c:v>-0.34967753509323241</c:v>
                </c:pt>
                <c:pt idx="88">
                  <c:v>-0.33934300211347906</c:v>
                </c:pt>
                <c:pt idx="89">
                  <c:v>-0.20352718362634525</c:v>
                </c:pt>
                <c:pt idx="90">
                  <c:v>-7.4103057085001422E-16</c:v>
                </c:pt>
                <c:pt idx="91">
                  <c:v>0.19167468315957958</c:v>
                </c:pt>
                <c:pt idx="92">
                  <c:v>0.30097024363139779</c:v>
                </c:pt>
                <c:pt idx="93">
                  <c:v>0.29207522866309704</c:v>
                </c:pt>
                <c:pt idx="94">
                  <c:v>0.17517747036652367</c:v>
                </c:pt>
                <c:pt idx="95">
                  <c:v>1.7007664133427642E-15</c:v>
                </c:pt>
                <c:pt idx="96">
                  <c:v>-0.16497592867419664</c:v>
                </c:pt>
                <c:pt idx="97">
                  <c:v>-0.25904748936013738</c:v>
                </c:pt>
                <c:pt idx="98">
                  <c:v>-0.25139147902650005</c:v>
                </c:pt>
                <c:pt idx="99">
                  <c:v>-0.15077664603443033</c:v>
                </c:pt>
                <c:pt idx="100">
                  <c:v>-6.0996549885318345E-16</c:v>
                </c:pt>
                <c:pt idx="101">
                  <c:v>0.14199609772801178</c:v>
                </c:pt>
                <c:pt idx="102">
                  <c:v>0.22296424036515528</c:v>
                </c:pt>
                <c:pt idx="103">
                  <c:v>0.21637465120340088</c:v>
                </c:pt>
                <c:pt idx="104">
                  <c:v>0.12977466190045242</c:v>
                </c:pt>
                <c:pt idx="105">
                  <c:v>-2.0995440771376492E-16</c:v>
                </c:pt>
                <c:pt idx="106">
                  <c:v>-0.12221717393573114</c:v>
                </c:pt>
                <c:pt idx="107">
                  <c:v>-0.19190710013984322</c:v>
                </c:pt>
                <c:pt idx="108">
                  <c:v>-0.18623538818695756</c:v>
                </c:pt>
                <c:pt idx="109">
                  <c:v>-0.11169808663558396</c:v>
                </c:pt>
                <c:pt idx="110">
                  <c:v>-1.8074142445301583E-15</c:v>
                </c:pt>
                <c:pt idx="111">
                  <c:v>0.10519329646261298</c:v>
                </c:pt>
                <c:pt idx="112">
                  <c:v>0.16517597182296551</c:v>
                </c:pt>
                <c:pt idx="113">
                  <c:v>0.16029428410513116</c:v>
                </c:pt>
                <c:pt idx="114">
                  <c:v>9.6139434118663825E-2</c:v>
                </c:pt>
                <c:pt idx="115">
                  <c:v>1.0111866326377736E-15</c:v>
                </c:pt>
                <c:pt idx="116">
                  <c:v>-9.0540709331817196E-2</c:v>
                </c:pt>
                <c:pt idx="117">
                  <c:v>-0.14216827646178651</c:v>
                </c:pt>
                <c:pt idx="118">
                  <c:v>-0.13796656890463063</c:v>
                </c:pt>
                <c:pt idx="119">
                  <c:v>-8.2747977794926528E-2</c:v>
                </c:pt>
                <c:pt idx="120">
                  <c:v>-4.0170739606382961E-16</c:v>
                </c:pt>
                <c:pt idx="121">
                  <c:v>7.7929110713078106E-2</c:v>
                </c:pt>
                <c:pt idx="122">
                  <c:v>0.1223653695452626</c:v>
                </c:pt>
                <c:pt idx="123">
                  <c:v>0.1187489263362128</c:v>
                </c:pt>
                <c:pt idx="124">
                  <c:v>7.1221844521136488E-2</c:v>
                </c:pt>
                <c:pt idx="125">
                  <c:v>-5.7599962005697263E-17</c:v>
                </c:pt>
                <c:pt idx="126">
                  <c:v>-6.7074207186456763E-2</c:v>
                </c:pt>
                <c:pt idx="127">
                  <c:v>-0.10532084960580751</c:v>
                </c:pt>
                <c:pt idx="128">
                  <c:v>-0.10220814808949036</c:v>
                </c:pt>
                <c:pt idx="129">
                  <c:v>-6.1301209675047159E-2</c:v>
                </c:pt>
                <c:pt idx="130">
                  <c:v>3.9674565186686017E-16</c:v>
                </c:pt>
                <c:pt idx="131">
                  <c:v>5.7731305137770556E-2</c:v>
                </c:pt>
                <c:pt idx="132">
                  <c:v>9.0650495339582526E-2</c:v>
                </c:pt>
                <c:pt idx="133">
                  <c:v>8.797136831625775E-2</c:v>
                </c:pt>
                <c:pt idx="134">
                  <c:v>5.2762440131817807E-2</c:v>
                </c:pt>
                <c:pt idx="135">
                  <c:v>5.9764098099517496E-16</c:v>
                </c:pt>
                <c:pt idx="136">
                  <c:v>-4.9689794821508253E-2</c:v>
                </c:pt>
                <c:pt idx="137">
                  <c:v>-7.8023604405660946E-2</c:v>
                </c:pt>
                <c:pt idx="138">
                  <c:v>-7.5717658406829605E-2</c:v>
                </c:pt>
                <c:pt idx="139">
                  <c:v>-4.5413053077105817E-2</c:v>
                </c:pt>
                <c:pt idx="140">
                  <c:v>-2.5720530880900482E-16</c:v>
                </c:pt>
                <c:pt idx="141">
                  <c:v>4.2768402749796909E-2</c:v>
                </c:pt>
                <c:pt idx="142">
                  <c:v>6.7155538661385711E-2</c:v>
                </c:pt>
                <c:pt idx="143">
                  <c:v>6.5170792546985976E-2</c:v>
                </c:pt>
                <c:pt idx="144">
                  <c:v>3.9087377017279296E-2</c:v>
                </c:pt>
                <c:pt idx="145">
                  <c:v>1.3993594239619518E-20</c:v>
                </c:pt>
                <c:pt idx="146">
                  <c:v>-3.681110538570901E-2</c:v>
                </c:pt>
                <c:pt idx="147">
                  <c:v>-5.7801307786976119E-2</c:v>
                </c:pt>
                <c:pt idx="148">
                  <c:v>-5.6093020975133717E-2</c:v>
                </c:pt>
                <c:pt idx="149">
                  <c:v>-3.3642817176305635E-2</c:v>
                </c:pt>
                <c:pt idx="150">
                  <c:v>-5.9882338875780008E-16</c:v>
                </c:pt>
                <c:pt idx="151">
                  <c:v>3.168361202650332E-2</c:v>
                </c:pt>
                <c:pt idx="152">
                  <c:v>4.9750046660050194E-2</c:v>
                </c:pt>
                <c:pt idx="153">
                  <c:v>4.8279710575075636E-2</c:v>
                </c:pt>
                <c:pt idx="154">
                  <c:v>2.8956641093056058E-2</c:v>
                </c:pt>
                <c:pt idx="155">
                  <c:v>3.5142108824011438E-16</c:v>
                </c:pt>
                <c:pt idx="156">
                  <c:v>-2.7270337593168416E-2</c:v>
                </c:pt>
                <c:pt idx="157">
                  <c:v>-4.2820261987823849E-2</c:v>
                </c:pt>
                <c:pt idx="158">
                  <c:v>-4.1554731991460758E-2</c:v>
                </c:pt>
                <c:pt idx="159">
                  <c:v>-2.4923211959271333E-2</c:v>
                </c:pt>
                <c:pt idx="160">
                  <c:v>-1.6132259010233065E-16</c:v>
                </c:pt>
                <c:pt idx="161">
                  <c:v>2.3471797086244271E-2</c:v>
                </c:pt>
                <c:pt idx="162">
                  <c:v>3.6855741045530743E-2</c:v>
                </c:pt>
                <c:pt idx="163">
                  <c:v>3.5766489283255778E-2</c:v>
                </c:pt>
                <c:pt idx="164">
                  <c:v>2.1451607331477558E-2</c:v>
                </c:pt>
                <c:pt idx="165">
                  <c:v>1.7364134857177733E-17</c:v>
                </c:pt>
                <c:pt idx="166">
                  <c:v>-2.020236297316096E-2</c:v>
                </c:pt>
                <c:pt idx="167">
                  <c:v>-3.1722030294944734E-2</c:v>
                </c:pt>
                <c:pt idx="168">
                  <c:v>-3.0784502614819693E-2</c:v>
                </c:pt>
                <c:pt idx="169">
                  <c:v>-1.846356953734089E-2</c:v>
                </c:pt>
                <c:pt idx="170">
                  <c:v>8.9619815404788183E-17</c:v>
                </c:pt>
                <c:pt idx="171">
                  <c:v>1.7388334953633979E-2</c:v>
                </c:pt>
                <c:pt idx="172">
                  <c:v>2.7303404503256308E-2</c:v>
                </c:pt>
                <c:pt idx="173">
                  <c:v>2.6496466950853319E-2</c:v>
                </c:pt>
                <c:pt idx="174">
                  <c:v>1.589174157406794E-2</c:v>
                </c:pt>
                <c:pt idx="175">
                  <c:v>2.0572196051272356E-16</c:v>
                </c:pt>
                <c:pt idx="176">
                  <c:v>-1.4966278591343467E-2</c:v>
                </c:pt>
                <c:pt idx="177">
                  <c:v>-2.3500258039512459E-2</c:v>
                </c:pt>
                <c:pt idx="178">
                  <c:v>-2.280572045168237E-2</c:v>
                </c:pt>
                <c:pt idx="179">
                  <c:v>-1.3678148732085921E-2</c:v>
                </c:pt>
                <c:pt idx="180">
                  <c:v>-9.9602678939609367E-17</c:v>
                </c:pt>
                <c:pt idx="181">
                  <c:v>1.2881595360968704E-2</c:v>
                </c:pt>
                <c:pt idx="182">
                  <c:v>2.0226859542655476E-2</c:v>
                </c:pt>
                <c:pt idx="183">
                  <c:v>1.9629065500883058E-2</c:v>
                </c:pt>
                <c:pt idx="184">
                  <c:v>1.1772891716434811E-2</c:v>
                </c:pt>
                <c:pt idx="185">
                  <c:v>1.905506373106124E-17</c:v>
                </c:pt>
                <c:pt idx="186">
                  <c:v>-1.1087291876265842E-2</c:v>
                </c:pt>
                <c:pt idx="187">
                  <c:v>-1.7409419346392896E-2</c:v>
                </c:pt>
                <c:pt idx="188">
                  <c:v>-1.6894893246380042E-2</c:v>
                </c:pt>
                <c:pt idx="189">
                  <c:v>-1.0133021805923889E-2</c:v>
                </c:pt>
                <c:pt idx="190">
                  <c:v>-1.9675935629309395E-16</c:v>
                </c:pt>
                <c:pt idx="191">
                  <c:v>9.5429205548547974E-3</c:v>
                </c:pt>
                <c:pt idx="192">
                  <c:v>1.4984426096369094E-2</c:v>
                </c:pt>
                <c:pt idx="193">
                  <c:v>1.4541569378009118E-2</c:v>
                </c:pt>
                <c:pt idx="194">
                  <c:v>8.7215726936476917E-3</c:v>
                </c:pt>
                <c:pt idx="195">
                  <c:v>1.1995921373710745E-16</c:v>
                </c:pt>
                <c:pt idx="196">
                  <c:v>-8.213667839954206E-3</c:v>
                </c:pt>
                <c:pt idx="197">
                  <c:v>-1.289721506329663E-2</c:v>
                </c:pt>
                <c:pt idx="198">
                  <c:v>-1.2516044753390798E-2</c:v>
                </c:pt>
                <c:pt idx="199">
                  <c:v>-7.5067271843935078E-3</c:v>
                </c:pt>
                <c:pt idx="200">
                  <c:v>-6.0736787986883362E-17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4-4FBB-8E61-E12B9EDB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Sinx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Sheet1!$D$2:$D$202</c:f>
              <c:numCache>
                <c:formatCode>General</c:formatCode>
                <c:ptCount val="201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  <c:pt idx="63">
                  <c:v>1.6813900484349713E-2</c:v>
                </c:pt>
                <c:pt idx="64">
                  <c:v>0.11654920485049364</c:v>
                </c:pt>
                <c:pt idx="65">
                  <c:v>0.21511998808781552</c:v>
                </c:pt>
                <c:pt idx="66">
                  <c:v>0.31154136351337786</c:v>
                </c:pt>
                <c:pt idx="67">
                  <c:v>0.4048499206165983</c:v>
                </c:pt>
                <c:pt idx="68">
                  <c:v>0.49411335113860816</c:v>
                </c:pt>
                <c:pt idx="69">
                  <c:v>0.57843976438820011</c:v>
                </c:pt>
                <c:pt idx="70">
                  <c:v>0.65698659871878906</c:v>
                </c:pt>
                <c:pt idx="71">
                  <c:v>0.72896904012587593</c:v>
                </c:pt>
                <c:pt idx="72">
                  <c:v>0.79366786384915311</c:v>
                </c:pt>
                <c:pt idx="73">
                  <c:v>0.8504366206285644</c:v>
                </c:pt>
                <c:pt idx="74">
                  <c:v>0.89870809581162692</c:v>
                </c:pt>
                <c:pt idx="75">
                  <c:v>0.9379999767747389</c:v>
                </c:pt>
                <c:pt idx="76">
                  <c:v>0.96791967203148632</c:v>
                </c:pt>
                <c:pt idx="77">
                  <c:v>0.98816823387700037</c:v>
                </c:pt>
                <c:pt idx="78">
                  <c:v>0.99854334537460498</c:v>
                </c:pt>
                <c:pt idx="79">
                  <c:v>0.99894134183977201</c:v>
                </c:pt>
                <c:pt idx="80">
                  <c:v>0.98935824662338179</c:v>
                </c:pt>
                <c:pt idx="81">
                  <c:v>0.9698898108450863</c:v>
                </c:pt>
                <c:pt idx="82">
                  <c:v>0.94073055667977312</c:v>
                </c:pt>
                <c:pt idx="83">
                  <c:v>0.90217183375629328</c:v>
                </c:pt>
                <c:pt idx="84">
                  <c:v>0.85459890808828043</c:v>
                </c:pt>
                <c:pt idx="85">
                  <c:v>0.79848711262349026</c:v>
                </c:pt>
                <c:pt idx="86">
                  <c:v>0.73439709787411334</c:v>
                </c:pt>
                <c:pt idx="87">
                  <c:v>0.66296923008218334</c:v>
                </c:pt>
                <c:pt idx="88">
                  <c:v>0.58491719289176169</c:v>
                </c:pt>
                <c:pt idx="89">
                  <c:v>0.50102085645788463</c:v>
                </c:pt>
                <c:pt idx="90">
                  <c:v>0.41211848524175659</c:v>
                </c:pt>
                <c:pt idx="91">
                  <c:v>0.31909836234935213</c:v>
                </c:pt>
                <c:pt idx="92">
                  <c:v>0.22288991410024764</c:v>
                </c:pt>
                <c:pt idx="93">
                  <c:v>0.12445442350706171</c:v>
                </c:pt>
                <c:pt idx="94">
                  <c:v>2.4775425453357765E-2</c:v>
                </c:pt>
                <c:pt idx="95">
                  <c:v>-7.5151120461809301E-2</c:v>
                </c:pt>
                <c:pt idx="96">
                  <c:v>-0.17432678122297965</c:v>
                </c:pt>
                <c:pt idx="97">
                  <c:v>-0.27176062641094245</c:v>
                </c:pt>
                <c:pt idx="98">
                  <c:v>-0.36647912925192838</c:v>
                </c:pt>
                <c:pt idx="99">
                  <c:v>-0.45753589377532133</c:v>
                </c:pt>
                <c:pt idx="100">
                  <c:v>-0.54402111088936977</c:v>
                </c:pt>
                <c:pt idx="101">
                  <c:v>-0.62507064889288211</c:v>
                </c:pt>
                <c:pt idx="102">
                  <c:v>-0.69987468759354232</c:v>
                </c:pt>
                <c:pt idx="103">
                  <c:v>-0.76768580976358247</c:v>
                </c:pt>
                <c:pt idx="104">
                  <c:v>-0.82782646908565372</c:v>
                </c:pt>
                <c:pt idx="105">
                  <c:v>-0.87969575997167004</c:v>
                </c:pt>
                <c:pt idx="106">
                  <c:v>-0.92277542161280657</c:v>
                </c:pt>
                <c:pt idx="107">
                  <c:v>-0.95663501627018788</c:v>
                </c:pt>
                <c:pt idx="108">
                  <c:v>-0.98093623006649155</c:v>
                </c:pt>
                <c:pt idx="109">
                  <c:v>-0.99543625330637742</c:v>
                </c:pt>
                <c:pt idx="110">
                  <c:v>-0.99999020655070348</c:v>
                </c:pt>
                <c:pt idx="111">
                  <c:v>-0.99455258820398917</c:v>
                </c:pt>
                <c:pt idx="112">
                  <c:v>-0.9791777291513174</c:v>
                </c:pt>
                <c:pt idx="113">
                  <c:v>-0.95401924990208897</c:v>
                </c:pt>
                <c:pt idx="114">
                  <c:v>-0.91932852566467571</c:v>
                </c:pt>
                <c:pt idx="115">
                  <c:v>-0.87545217468842851</c:v>
                </c:pt>
                <c:pt idx="116">
                  <c:v>-0.82282859496870886</c:v>
                </c:pt>
                <c:pt idx="117">
                  <c:v>-0.76198358391903331</c:v>
                </c:pt>
                <c:pt idx="118">
                  <c:v>-0.69352508477712238</c:v>
                </c:pt>
                <c:pt idx="119">
                  <c:v>-0.61813711223703327</c:v>
                </c:pt>
                <c:pt idx="120">
                  <c:v>-0.53657291800043494</c:v>
                </c:pt>
                <c:pt idx="121">
                  <c:v>-0.44964746453460147</c:v>
                </c:pt>
                <c:pt idx="122">
                  <c:v>-0.35822928223682871</c:v>
                </c:pt>
                <c:pt idx="123">
                  <c:v>-0.26323179136580094</c:v>
                </c:pt>
                <c:pt idx="124">
                  <c:v>-0.16560417544830941</c:v>
                </c:pt>
                <c:pt idx="125">
                  <c:v>-6.6321897351200684E-2</c:v>
                </c:pt>
                <c:pt idx="126">
                  <c:v>3.3623047221136695E-2</c:v>
                </c:pt>
                <c:pt idx="127">
                  <c:v>0.13323204141994222</c:v>
                </c:pt>
                <c:pt idx="128">
                  <c:v>0.23150982510153895</c:v>
                </c:pt>
                <c:pt idx="129">
                  <c:v>0.32747443913769303</c:v>
                </c:pt>
                <c:pt idx="130">
                  <c:v>0.42016703682664092</c:v>
                </c:pt>
                <c:pt idx="131">
                  <c:v>0.5086614643723737</c:v>
                </c:pt>
                <c:pt idx="132">
                  <c:v>0.59207351470722303</c:v>
                </c:pt>
                <c:pt idx="133">
                  <c:v>0.66956976219660236</c:v>
                </c:pt>
                <c:pt idx="134">
                  <c:v>0.74037588995244863</c:v>
                </c:pt>
                <c:pt idx="135">
                  <c:v>0.80378442655162097</c:v>
                </c:pt>
                <c:pt idx="136">
                  <c:v>0.85916181485649579</c:v>
                </c:pt>
                <c:pt idx="137">
                  <c:v>0.90595474230846185</c:v>
                </c:pt>
                <c:pt idx="138">
                  <c:v>0.94369566944410477</c:v>
                </c:pt>
                <c:pt idx="139">
                  <c:v>0.97200750139497594</c:v>
                </c:pt>
                <c:pt idx="140">
                  <c:v>0.99060735569487035</c:v>
                </c:pt>
                <c:pt idx="141">
                  <c:v>0.99930938874791764</c:v>
                </c:pt>
                <c:pt idx="142">
                  <c:v>0.99802665271636171</c:v>
                </c:pt>
                <c:pt idx="143">
                  <c:v>0.98677196427461333</c:v>
                </c:pt>
                <c:pt idx="144">
                  <c:v>0.96565777654927742</c:v>
                </c:pt>
                <c:pt idx="145">
                  <c:v>0.93489505552468299</c:v>
                </c:pt>
                <c:pt idx="146">
                  <c:v>0.89479117214050419</c:v>
                </c:pt>
                <c:pt idx="147">
                  <c:v>0.84574683114293425</c:v>
                </c:pt>
                <c:pt idx="148">
                  <c:v>0.78825206737531628</c:v>
                </c:pt>
                <c:pt idx="149">
                  <c:v>0.72288134951197602</c:v>
                </c:pt>
                <c:pt idx="150">
                  <c:v>0.65028784015711683</c:v>
                </c:pt>
                <c:pt idx="151">
                  <c:v>0.57119686965998862</c:v>
                </c:pt>
                <c:pt idx="152">
                  <c:v>0.48639868885379967</c:v>
                </c:pt>
                <c:pt idx="153">
                  <c:v>0.39674057313061206</c:v>
                </c:pt>
                <c:pt idx="154">
                  <c:v>0.30311835674570226</c:v>
                </c:pt>
                <c:pt idx="155">
                  <c:v>0.2064674819377966</c:v>
                </c:pt>
                <c:pt idx="156">
                  <c:v>0.10775365229944406</c:v>
                </c:pt>
                <c:pt idx="157">
                  <c:v>7.9631837859373434E-3</c:v>
                </c:pt>
                <c:pt idx="158">
                  <c:v>-9.1906850227681636E-2</c:v>
                </c:pt>
                <c:pt idx="159">
                  <c:v>-0.19085858137418937</c:v>
                </c:pt>
                <c:pt idx="160">
                  <c:v>-0.2879033166650653</c:v>
                </c:pt>
                <c:pt idx="161">
                  <c:v>-0.38207141718400911</c:v>
                </c:pt>
                <c:pt idx="162">
                  <c:v>-0.47242198639846616</c:v>
                </c:pt>
                <c:pt idx="163">
                  <c:v>-0.55805227128677937</c:v>
                </c:pt>
                <c:pt idx="164">
                  <c:v>-0.63810668234794743</c:v>
                </c:pt>
                <c:pt idx="165">
                  <c:v>-0.71178534236912305</c:v>
                </c:pt>
                <c:pt idx="166">
                  <c:v>-0.77835207853429844</c:v>
                </c:pt>
                <c:pt idx="167">
                  <c:v>-0.83714177801974676</c:v>
                </c:pt>
                <c:pt idx="168">
                  <c:v>-0.88756703358150457</c:v>
                </c:pt>
                <c:pt idx="169">
                  <c:v>-0.9291240127343684</c:v>
                </c:pt>
                <c:pt idx="170">
                  <c:v>-0.96139749187955681</c:v>
                </c:pt>
                <c:pt idx="171">
                  <c:v>-0.98406500508164341</c:v>
                </c:pt>
                <c:pt idx="172">
                  <c:v>-0.99690006604159609</c:v>
                </c:pt>
                <c:pt idx="173">
                  <c:v>-0.99977443107301112</c:v>
                </c:pt>
                <c:pt idx="174">
                  <c:v>-0.99265938047063318</c:v>
                </c:pt>
                <c:pt idx="175">
                  <c:v>-0.97562600546815759</c:v>
                </c:pt>
                <c:pt idx="176">
                  <c:v>-0.94884449791812397</c:v>
                </c:pt>
                <c:pt idx="177">
                  <c:v>-0.91258244979118452</c:v>
                </c:pt>
                <c:pt idx="178">
                  <c:v>-0.86720217948558131</c:v>
                </c:pt>
                <c:pt idx="179">
                  <c:v>-0.81315711166148852</c:v>
                </c:pt>
                <c:pt idx="180">
                  <c:v>-0.75098724677167605</c:v>
                </c:pt>
                <c:pt idx="181">
                  <c:v>-0.68131376555549994</c:v>
                </c:pt>
                <c:pt idx="182">
                  <c:v>-0.60483282240628411</c:v>
                </c:pt>
                <c:pt idx="183">
                  <c:v>-0.52230858962673155</c:v>
                </c:pt>
                <c:pt idx="184">
                  <c:v>-0.43456562207189675</c:v>
                </c:pt>
                <c:pt idx="185">
                  <c:v>-0.34248061846961253</c:v>
                </c:pt>
                <c:pt idx="186">
                  <c:v>-0.24697366173662089</c:v>
                </c:pt>
                <c:pt idx="187">
                  <c:v>-0.1489990258141988</c:v>
                </c:pt>
                <c:pt idx="188">
                  <c:v>-4.9535640878367419E-2</c:v>
                </c:pt>
                <c:pt idx="189">
                  <c:v>5.0422687806811223E-2</c:v>
                </c:pt>
                <c:pt idx="190">
                  <c:v>0.14987720966295234</c:v>
                </c:pt>
                <c:pt idx="191">
                  <c:v>0.24783420798295983</c:v>
                </c:pt>
                <c:pt idx="192">
                  <c:v>0.34331492881989539</c:v>
                </c:pt>
                <c:pt idx="193">
                  <c:v>0.4353653603728932</c:v>
                </c:pt>
                <c:pt idx="194">
                  <c:v>0.52306576515769643</c:v>
                </c:pt>
                <c:pt idx="195">
                  <c:v>0.60553986971960105</c:v>
                </c:pt>
                <c:pt idx="196">
                  <c:v>0.6819636200681356</c:v>
                </c:pt>
                <c:pt idx="197">
                  <c:v>0.75157341535214828</c:v>
                </c:pt>
                <c:pt idx="198">
                  <c:v>0.81367373750710537</c:v>
                </c:pt>
                <c:pt idx="199">
                  <c:v>0.8676441006416673</c:v>
                </c:pt>
                <c:pt idx="200">
                  <c:v>0.91294525072762767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A-4450-AC4B-2B7C86FAD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valAx>
        <c:axId val="103751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 val="autoZero"/>
        <c:crossBetween val="midCat"/>
      </c:valAx>
      <c:valAx>
        <c:axId val="1037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A-4D66-8F12-79B76F66E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scatterChart>
        <c:scatterStyle val="lineMarker"/>
        <c:varyColors val="0"/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Sheet1!$V$152:$V$202</c:f>
              <c:numCache>
                <c:formatCode>General</c:formatCode>
                <c:ptCount val="51"/>
                <c:pt idx="0">
                  <c:v>0.38647277407806074</c:v>
                </c:pt>
                <c:pt idx="1">
                  <c:v>0.45733185864274084</c:v>
                </c:pt>
                <c:pt idx="2">
                  <c:v>0.45066337757167496</c:v>
                </c:pt>
                <c:pt idx="3">
                  <c:v>0.36286763510107822</c:v>
                </c:pt>
                <c:pt idx="4">
                  <c:v>0.20465243228278401</c:v>
                </c:pt>
                <c:pt idx="5">
                  <c:v>-3.8112936573650638E-16</c:v>
                </c:pt>
                <c:pt idx="6">
                  <c:v>-0.21730743193726013</c:v>
                </c:pt>
                <c:pt idx="7">
                  <c:v>-0.40913211611652006</c:v>
                </c:pt>
                <c:pt idx="8">
                  <c:v>-0.53954202055192968</c:v>
                </c:pt>
                <c:pt idx="9">
                  <c:v>-0.58138273671449314</c:v>
                </c:pt>
                <c:pt idx="10">
                  <c:v>-0.52168367797760073</c:v>
                </c:pt>
                <c:pt idx="11">
                  <c:v>-0.36485822174995225</c:v>
                </c:pt>
                <c:pt idx="12">
                  <c:v>-0.13298822716301847</c:v>
                </c:pt>
                <c:pt idx="13">
                  <c:v>0.1370383216425734</c:v>
                </c:pt>
                <c:pt idx="14">
                  <c:v>0.39921848343721145</c:v>
                </c:pt>
                <c:pt idx="15">
                  <c:v>0.60610996094681224</c:v>
                </c:pt>
                <c:pt idx="16">
                  <c:v>0.71723912672227785</c:v>
                </c:pt>
                <c:pt idx="17">
                  <c:v>0.70678086659981476</c:v>
                </c:pt>
                <c:pt idx="18">
                  <c:v>0.5690897338490204</c:v>
                </c:pt>
                <c:pt idx="19">
                  <c:v>0.32095890333929322</c:v>
                </c:pt>
                <c:pt idx="20">
                  <c:v>-3.9848655235513474E-16</c:v>
                </c:pt>
                <c:pt idx="21">
                  <c:v>-0.3408058935047818</c:v>
                </c:pt>
                <c:pt idx="22">
                  <c:v>-0.64164688318091589</c:v>
                </c:pt>
                <c:pt idx="23">
                  <c:v>-0.84617032541557835</c:v>
                </c:pt>
                <c:pt idx="24">
                  <c:v>-0.91178963042296191</c:v>
                </c:pt>
                <c:pt idx="25">
                  <c:v>-0.81816286914360126</c:v>
                </c:pt>
                <c:pt idx="26">
                  <c:v>-0.57221159514672448</c:v>
                </c:pt>
                <c:pt idx="27">
                  <c:v>-0.20856705718649676</c:v>
                </c:pt>
                <c:pt idx="28">
                  <c:v>0.21491886971116872</c:v>
                </c:pt>
                <c:pt idx="29">
                  <c:v>0.62609921224748366</c:v>
                </c:pt>
                <c:pt idx="30">
                  <c:v>0.95056963749985579</c:v>
                </c:pt>
                <c:pt idx="31">
                  <c:v>1.1248548623488759</c:v>
                </c:pt>
                <c:pt idx="32">
                  <c:v>1.108453045559791</c:v>
                </c:pt>
                <c:pt idx="33">
                  <c:v>0.89251036423277641</c:v>
                </c:pt>
                <c:pt idx="34">
                  <c:v>0.50336375914857401</c:v>
                </c:pt>
                <c:pt idx="35">
                  <c:v>-3.1247565790626193E-16</c:v>
                </c:pt>
                <c:pt idx="36">
                  <c:v>-0.53449003567041264</c:v>
                </c:pt>
                <c:pt idx="37">
                  <c:v>-1.0063026256744176</c:v>
                </c:pt>
                <c:pt idx="38">
                  <c:v>-1.3270592323494328</c:v>
                </c:pt>
                <c:pt idx="39">
                  <c:v>-1.4299707879959092</c:v>
                </c:pt>
                <c:pt idx="40">
                  <c:v>-1.2831347973935079</c:v>
                </c:pt>
                <c:pt idx="41">
                  <c:v>-0.89740641734737547</c:v>
                </c:pt>
                <c:pt idx="42">
                  <c:v>-0.32709825727740882</c:v>
                </c:pt>
                <c:pt idx="43">
                  <c:v>0.33705988225980021</c:v>
                </c:pt>
                <c:pt idx="44">
                  <c:v>0.98191902389352392</c:v>
                </c:pt>
                <c:pt idx="45">
                  <c:v>1.4907899456479956</c:v>
                </c:pt>
                <c:pt idx="46">
                  <c:v>1.7641235875296084</c:v>
                </c:pt>
                <c:pt idx="47">
                  <c:v>1.7384004183951096</c:v>
                </c:pt>
                <c:pt idx="48">
                  <c:v>1.399734879902532</c:v>
                </c:pt>
                <c:pt idx="49">
                  <c:v>0.78943151720684801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A-4D66-8F12-79B76F66E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42239"/>
        <c:axId val="75617168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511567"/>
        <c:crossesAt val="0"/>
        <c:crossBetween val="midCat"/>
      </c:valAx>
      <c:valAx>
        <c:axId val="75617168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Excitement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642239"/>
        <c:crosses val="max"/>
        <c:crossBetween val="midCat"/>
      </c:valAx>
      <c:valAx>
        <c:axId val="1645642239"/>
        <c:scaling>
          <c:orientation val="minMax"/>
          <c:max val="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Vibe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6171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D-42DF-BC84-4D9ACCA9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scatterChart>
        <c:scatterStyle val="lineMarker"/>
        <c:varyColors val="0"/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Sheet1!$V$152:$V$202</c:f>
              <c:numCache>
                <c:formatCode>General</c:formatCode>
                <c:ptCount val="51"/>
                <c:pt idx="0">
                  <c:v>0.38647277407806074</c:v>
                </c:pt>
                <c:pt idx="1">
                  <c:v>0.45733185864274084</c:v>
                </c:pt>
                <c:pt idx="2">
                  <c:v>0.45066337757167496</c:v>
                </c:pt>
                <c:pt idx="3">
                  <c:v>0.36286763510107822</c:v>
                </c:pt>
                <c:pt idx="4">
                  <c:v>0.20465243228278401</c:v>
                </c:pt>
                <c:pt idx="5">
                  <c:v>-3.8112936573650638E-16</c:v>
                </c:pt>
                <c:pt idx="6">
                  <c:v>-0.21730743193726013</c:v>
                </c:pt>
                <c:pt idx="7">
                  <c:v>-0.40913211611652006</c:v>
                </c:pt>
                <c:pt idx="8">
                  <c:v>-0.53954202055192968</c:v>
                </c:pt>
                <c:pt idx="9">
                  <c:v>-0.58138273671449314</c:v>
                </c:pt>
                <c:pt idx="10">
                  <c:v>-0.52168367797760073</c:v>
                </c:pt>
                <c:pt idx="11">
                  <c:v>-0.36485822174995225</c:v>
                </c:pt>
                <c:pt idx="12">
                  <c:v>-0.13298822716301847</c:v>
                </c:pt>
                <c:pt idx="13">
                  <c:v>0.1370383216425734</c:v>
                </c:pt>
                <c:pt idx="14">
                  <c:v>0.39921848343721145</c:v>
                </c:pt>
                <c:pt idx="15">
                  <c:v>0.60610996094681224</c:v>
                </c:pt>
                <c:pt idx="16">
                  <c:v>0.71723912672227785</c:v>
                </c:pt>
                <c:pt idx="17">
                  <c:v>0.70678086659981476</c:v>
                </c:pt>
                <c:pt idx="18">
                  <c:v>0.5690897338490204</c:v>
                </c:pt>
                <c:pt idx="19">
                  <c:v>0.32095890333929322</c:v>
                </c:pt>
                <c:pt idx="20">
                  <c:v>-3.9848655235513474E-16</c:v>
                </c:pt>
                <c:pt idx="21">
                  <c:v>-0.3408058935047818</c:v>
                </c:pt>
                <c:pt idx="22">
                  <c:v>-0.64164688318091589</c:v>
                </c:pt>
                <c:pt idx="23">
                  <c:v>-0.84617032541557835</c:v>
                </c:pt>
                <c:pt idx="24">
                  <c:v>-0.91178963042296191</c:v>
                </c:pt>
                <c:pt idx="25">
                  <c:v>-0.81816286914360126</c:v>
                </c:pt>
                <c:pt idx="26">
                  <c:v>-0.57221159514672448</c:v>
                </c:pt>
                <c:pt idx="27">
                  <c:v>-0.20856705718649676</c:v>
                </c:pt>
                <c:pt idx="28">
                  <c:v>0.21491886971116872</c:v>
                </c:pt>
                <c:pt idx="29">
                  <c:v>0.62609921224748366</c:v>
                </c:pt>
                <c:pt idx="30">
                  <c:v>0.95056963749985579</c:v>
                </c:pt>
                <c:pt idx="31">
                  <c:v>1.1248548623488759</c:v>
                </c:pt>
                <c:pt idx="32">
                  <c:v>1.108453045559791</c:v>
                </c:pt>
                <c:pt idx="33">
                  <c:v>0.89251036423277641</c:v>
                </c:pt>
                <c:pt idx="34">
                  <c:v>0.50336375914857401</c:v>
                </c:pt>
                <c:pt idx="35">
                  <c:v>-3.1247565790626193E-16</c:v>
                </c:pt>
                <c:pt idx="36">
                  <c:v>-0.53449003567041264</c:v>
                </c:pt>
                <c:pt idx="37">
                  <c:v>-1.0063026256744176</c:v>
                </c:pt>
                <c:pt idx="38">
                  <c:v>-1.3270592323494328</c:v>
                </c:pt>
                <c:pt idx="39">
                  <c:v>-1.4299707879959092</c:v>
                </c:pt>
                <c:pt idx="40">
                  <c:v>-1.2831347973935079</c:v>
                </c:pt>
                <c:pt idx="41">
                  <c:v>-0.89740641734737547</c:v>
                </c:pt>
                <c:pt idx="42">
                  <c:v>-0.32709825727740882</c:v>
                </c:pt>
                <c:pt idx="43">
                  <c:v>0.33705988225980021</c:v>
                </c:pt>
                <c:pt idx="44">
                  <c:v>0.98191902389352392</c:v>
                </c:pt>
                <c:pt idx="45">
                  <c:v>1.4907899456479956</c:v>
                </c:pt>
                <c:pt idx="46">
                  <c:v>1.7641235875296084</c:v>
                </c:pt>
                <c:pt idx="47">
                  <c:v>1.7384004183951096</c:v>
                </c:pt>
                <c:pt idx="48">
                  <c:v>1.399734879902532</c:v>
                </c:pt>
                <c:pt idx="49">
                  <c:v>0.78943151720684801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D-42DF-BC84-4D9ACCA9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42239"/>
        <c:axId val="75617168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511567"/>
        <c:crossesAt val="0"/>
        <c:crossBetween val="midCat"/>
      </c:valAx>
      <c:valAx>
        <c:axId val="75617168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Excitement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642239"/>
        <c:crosses val="max"/>
        <c:crossBetween val="midCat"/>
      </c:valAx>
      <c:valAx>
        <c:axId val="1645642239"/>
        <c:scaling>
          <c:orientation val="minMax"/>
          <c:max val="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Vibe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6171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Sheet1!$U$152:$U$202</c:f>
              <c:numCache>
                <c:formatCode>General</c:formatCode>
                <c:ptCount val="51"/>
                <c:pt idx="0">
                  <c:v>-4.9741743945586956E-16</c:v>
                </c:pt>
                <c:pt idx="1">
                  <c:v>-0.2483835074357866</c:v>
                </c:pt>
                <c:pt idx="2">
                  <c:v>-0.41829452000491912</c:v>
                </c:pt>
                <c:pt idx="3">
                  <c:v>-0.43536544320675291</c:v>
                </c:pt>
                <c:pt idx="4">
                  <c:v>-0.28005162261809097</c:v>
                </c:pt>
                <c:pt idx="5">
                  <c:v>5.4679232925753144E-16</c:v>
                </c:pt>
                <c:pt idx="6">
                  <c:v>0.30337630106356667</c:v>
                </c:pt>
                <c:pt idx="7">
                  <c:v>0.51090608045729247</c:v>
                </c:pt>
                <c:pt idx="8">
                  <c:v>0.53175655314035275</c:v>
                </c:pt>
                <c:pt idx="9">
                  <c:v>0.34205582429296738</c:v>
                </c:pt>
                <c:pt idx="10">
                  <c:v>-5.9364769697419789E-16</c:v>
                </c:pt>
                <c:pt idx="11">
                  <c:v>-0.37054465087947225</c:v>
                </c:pt>
                <c:pt idx="12">
                  <c:v>-0.62402209583133861</c:v>
                </c:pt>
                <c:pt idx="13">
                  <c:v>-0.64948892067537167</c:v>
                </c:pt>
                <c:pt idx="14">
                  <c:v>-0.41778792723618285</c:v>
                </c:pt>
                <c:pt idx="15">
                  <c:v>6.3444756765225314E-16</c:v>
                </c:pt>
                <c:pt idx="16">
                  <c:v>0.45258425860568458</c:v>
                </c:pt>
                <c:pt idx="17">
                  <c:v>0.76218230900128681</c:v>
                </c:pt>
                <c:pt idx="18">
                  <c:v>0.79328755910737081</c:v>
                </c:pt>
                <c:pt idx="19">
                  <c:v>0.51028732665229404</c:v>
                </c:pt>
                <c:pt idx="20">
                  <c:v>-6.6421372203297681E-16</c:v>
                </c:pt>
                <c:pt idx="21">
                  <c:v>-0.5527876617608587</c:v>
                </c:pt>
                <c:pt idx="22">
                  <c:v>-0.93093157443505858</c:v>
                </c:pt>
                <c:pt idx="23">
                  <c:v>-0.96892361270789162</c:v>
                </c:pt>
                <c:pt idx="24">
                  <c:v>-0.62326634822729166</c:v>
                </c:pt>
                <c:pt idx="25">
                  <c:v>6.7606039341575876E-16</c:v>
                </c:pt>
                <c:pt idx="26">
                  <c:v>0.67517637475162373</c:v>
                </c:pt>
                <c:pt idx="27">
                  <c:v>1.1370423926733706</c:v>
                </c:pt>
                <c:pt idx="28">
                  <c:v>1.1834459730079359</c:v>
                </c:pt>
                <c:pt idx="29">
                  <c:v>0.76125923679323115</c:v>
                </c:pt>
                <c:pt idx="30">
                  <c:v>-6.605936233606857E-16</c:v>
                </c:pt>
                <c:pt idx="31">
                  <c:v>-0.82466228636621741</c:v>
                </c:pt>
                <c:pt idx="32">
                  <c:v>-1.3887867145562929</c:v>
                </c:pt>
                <c:pt idx="33">
                  <c:v>-1.4454641755654378</c:v>
                </c:pt>
                <c:pt idx="34">
                  <c:v>-0.92980413149415853</c:v>
                </c:pt>
                <c:pt idx="35">
                  <c:v>6.0513815519682143E-16</c:v>
                </c:pt>
                <c:pt idx="36">
                  <c:v>1.0072447911183695</c:v>
                </c:pt>
                <c:pt idx="37">
                  <c:v>1.6962679236552567</c:v>
                </c:pt>
                <c:pt idx="38">
                  <c:v>1.7654939308573419</c:v>
                </c:pt>
                <c:pt idx="39">
                  <c:v>1.1356653307556879</c:v>
                </c:pt>
                <c:pt idx="40">
                  <c:v>-4.9274494121690304E-16</c:v>
                </c:pt>
                <c:pt idx="41">
                  <c:v>-1.2302515660144406</c:v>
                </c:pt>
                <c:pt idx="42">
                  <c:v>-2.0718263205311542</c:v>
                </c:pt>
                <c:pt idx="43">
                  <c:v>-2.1563791566641979</c:v>
                </c:pt>
                <c:pt idx="44">
                  <c:v>-1.3871047673318777</c:v>
                </c:pt>
                <c:pt idx="45">
                  <c:v>3.0092001513589812E-16</c:v>
                </c:pt>
                <c:pt idx="46">
                  <c:v>1.5026326559609058</c:v>
                </c:pt>
                <c:pt idx="47">
                  <c:v>2.5305343823255884</c:v>
                </c:pt>
                <c:pt idx="48">
                  <c:v>2.633807449588752</c:v>
                </c:pt>
                <c:pt idx="49">
                  <c:v>1.6942135886762761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0-464A-BCDA-4D822046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11567"/>
        <c:axId val="1037512527"/>
      </c:scatterChart>
      <c:scatterChart>
        <c:scatterStyle val="lineMarker"/>
        <c:varyColors val="0"/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Sheet1!$V$152:$V$202</c:f>
              <c:numCache>
                <c:formatCode>General</c:formatCode>
                <c:ptCount val="51"/>
                <c:pt idx="0">
                  <c:v>0.38647277407806074</c:v>
                </c:pt>
                <c:pt idx="1">
                  <c:v>0.45733185864274084</c:v>
                </c:pt>
                <c:pt idx="2">
                  <c:v>0.45066337757167496</c:v>
                </c:pt>
                <c:pt idx="3">
                  <c:v>0.36286763510107822</c:v>
                </c:pt>
                <c:pt idx="4">
                  <c:v>0.20465243228278401</c:v>
                </c:pt>
                <c:pt idx="5">
                  <c:v>-3.8112936573650638E-16</c:v>
                </c:pt>
                <c:pt idx="6">
                  <c:v>-0.21730743193726013</c:v>
                </c:pt>
                <c:pt idx="7">
                  <c:v>-0.40913211611652006</c:v>
                </c:pt>
                <c:pt idx="8">
                  <c:v>-0.53954202055192968</c:v>
                </c:pt>
                <c:pt idx="9">
                  <c:v>-0.58138273671449314</c:v>
                </c:pt>
                <c:pt idx="10">
                  <c:v>-0.52168367797760073</c:v>
                </c:pt>
                <c:pt idx="11">
                  <c:v>-0.36485822174995225</c:v>
                </c:pt>
                <c:pt idx="12">
                  <c:v>-0.13298822716301847</c:v>
                </c:pt>
                <c:pt idx="13">
                  <c:v>0.1370383216425734</c:v>
                </c:pt>
                <c:pt idx="14">
                  <c:v>0.39921848343721145</c:v>
                </c:pt>
                <c:pt idx="15">
                  <c:v>0.60610996094681224</c:v>
                </c:pt>
                <c:pt idx="16">
                  <c:v>0.71723912672227785</c:v>
                </c:pt>
                <c:pt idx="17">
                  <c:v>0.70678086659981476</c:v>
                </c:pt>
                <c:pt idx="18">
                  <c:v>0.5690897338490204</c:v>
                </c:pt>
                <c:pt idx="19">
                  <c:v>0.32095890333929322</c:v>
                </c:pt>
                <c:pt idx="20">
                  <c:v>-3.9848655235513474E-16</c:v>
                </c:pt>
                <c:pt idx="21">
                  <c:v>-0.3408058935047818</c:v>
                </c:pt>
                <c:pt idx="22">
                  <c:v>-0.64164688318091589</c:v>
                </c:pt>
                <c:pt idx="23">
                  <c:v>-0.84617032541557835</c:v>
                </c:pt>
                <c:pt idx="24">
                  <c:v>-0.91178963042296191</c:v>
                </c:pt>
                <c:pt idx="25">
                  <c:v>-0.81816286914360126</c:v>
                </c:pt>
                <c:pt idx="26">
                  <c:v>-0.57221159514672448</c:v>
                </c:pt>
                <c:pt idx="27">
                  <c:v>-0.20856705718649676</c:v>
                </c:pt>
                <c:pt idx="28">
                  <c:v>0.21491886971116872</c:v>
                </c:pt>
                <c:pt idx="29">
                  <c:v>0.62609921224748366</c:v>
                </c:pt>
                <c:pt idx="30">
                  <c:v>0.95056963749985579</c:v>
                </c:pt>
                <c:pt idx="31">
                  <c:v>1.1248548623488759</c:v>
                </c:pt>
                <c:pt idx="32">
                  <c:v>1.108453045559791</c:v>
                </c:pt>
                <c:pt idx="33">
                  <c:v>0.89251036423277641</c:v>
                </c:pt>
                <c:pt idx="34">
                  <c:v>0.50336375914857401</c:v>
                </c:pt>
                <c:pt idx="35">
                  <c:v>-3.1247565790626193E-16</c:v>
                </c:pt>
                <c:pt idx="36">
                  <c:v>-0.53449003567041264</c:v>
                </c:pt>
                <c:pt idx="37">
                  <c:v>-1.0063026256744176</c:v>
                </c:pt>
                <c:pt idx="38">
                  <c:v>-1.3270592323494328</c:v>
                </c:pt>
                <c:pt idx="39">
                  <c:v>-1.4299707879959092</c:v>
                </c:pt>
                <c:pt idx="40">
                  <c:v>-1.2831347973935079</c:v>
                </c:pt>
                <c:pt idx="41">
                  <c:v>-0.89740641734737547</c:v>
                </c:pt>
                <c:pt idx="42">
                  <c:v>-0.32709825727740882</c:v>
                </c:pt>
                <c:pt idx="43">
                  <c:v>0.33705988225980021</c:v>
                </c:pt>
                <c:pt idx="44">
                  <c:v>0.98191902389352392</c:v>
                </c:pt>
                <c:pt idx="45">
                  <c:v>1.4907899456479956</c:v>
                </c:pt>
                <c:pt idx="46">
                  <c:v>1.7641235875296084</c:v>
                </c:pt>
                <c:pt idx="47">
                  <c:v>1.7384004183951096</c:v>
                </c:pt>
                <c:pt idx="48">
                  <c:v>1.399734879902532</c:v>
                </c:pt>
                <c:pt idx="49">
                  <c:v>0.78943151720684801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0-464A-BCDA-4D822046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642239"/>
        <c:axId val="75617168"/>
      </c:scatterChart>
      <c:valAx>
        <c:axId val="1037511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12527"/>
        <c:crossesAt val="-3"/>
        <c:crossBetween val="midCat"/>
      </c:valAx>
      <c:valAx>
        <c:axId val="1037512527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7511567"/>
        <c:crossesAt val="0"/>
        <c:crossBetween val="midCat"/>
      </c:valAx>
      <c:valAx>
        <c:axId val="75617168"/>
        <c:scaling>
          <c:orientation val="minMax"/>
          <c:max val="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Excitement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642239"/>
        <c:crosses val="max"/>
        <c:crossBetween val="midCat"/>
      </c:valAx>
      <c:valAx>
        <c:axId val="1645642239"/>
        <c:scaling>
          <c:orientation val="minMax"/>
          <c:max val="5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Vibe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6171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Sheet1!$AN$3:$AN$102</c:f>
              <c:numCache>
                <c:formatCode>General</c:formatCode>
                <c:ptCount val="10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</c:numCache>
            </c:numRef>
          </c:xVal>
          <c:yVal>
            <c:numRef>
              <c:f>Sheet1!$AP$3:$AP$102</c:f>
              <c:numCache>
                <c:formatCode>General</c:formatCode>
                <c:ptCount val="100"/>
                <c:pt idx="0">
                  <c:v>0</c:v>
                </c:pt>
                <c:pt idx="1">
                  <c:v>1.5220816534950701</c:v>
                </c:pt>
                <c:pt idx="2">
                  <c:v>2.85206786386457</c:v>
                </c:pt>
                <c:pt idx="3">
                  <c:v>3.8670910469131599</c:v>
                </c:pt>
                <c:pt idx="4">
                  <c:v>4.4783564824048296</c:v>
                </c:pt>
                <c:pt idx="5">
                  <c:v>4.6387174316427604</c:v>
                </c:pt>
                <c:pt idx="6">
                  <c:v>4.3460010459877703</c:v>
                </c:pt>
                <c:pt idx="7">
                  <c:v>3.6418891961240001</c:v>
                </c:pt>
                <c:pt idx="8">
                  <c:v>2.6065937632957299</c:v>
                </c:pt>
                <c:pt idx="9">
                  <c:v>1.34996532483702</c:v>
                </c:pt>
                <c:pt idx="10">
                  <c:v>0</c:v>
                </c:pt>
                <c:pt idx="11">
                  <c:v>-1.3100678199334499</c:v>
                </c:pt>
                <c:pt idx="12">
                  <c:v>-2.4547975597338101</c:v>
                </c:pt>
                <c:pt idx="13">
                  <c:v>-3.3284361096400898</c:v>
                </c:pt>
                <c:pt idx="14">
                  <c:v>-3.8545571456807002</c:v>
                </c:pt>
                <c:pt idx="15">
                  <c:v>-3.9925810937968902</c:v>
                </c:pt>
                <c:pt idx="16">
                  <c:v>-3.7406377658333199</c:v>
                </c:pt>
                <c:pt idx="17">
                  <c:v>-3.1346030803601699</c:v>
                </c:pt>
                <c:pt idx="18">
                  <c:v>-2.24351604336844</c:v>
                </c:pt>
                <c:pt idx="19">
                  <c:v>-1.1619259229844701</c:v>
                </c:pt>
                <c:pt idx="20">
                  <c:v>0</c:v>
                </c:pt>
                <c:pt idx="21">
                  <c:v>1.1275858222745001</c:v>
                </c:pt>
                <c:pt idx="22">
                  <c:v>2.1128638401716602</c:v>
                </c:pt>
                <c:pt idx="23">
                  <c:v>2.86481150858841</c:v>
                </c:pt>
                <c:pt idx="24">
                  <c:v>3.31764808087358</c:v>
                </c:pt>
                <c:pt idx="25">
                  <c:v>3.43644639395486</c:v>
                </c:pt>
                <c:pt idx="26">
                  <c:v>3.2195967619695498</c:v>
                </c:pt>
                <c:pt idx="27">
                  <c:v>2.6979778741925502</c:v>
                </c:pt>
                <c:pt idx="28">
                  <c:v>1.9310121537648</c:v>
                </c:pt>
                <c:pt idx="29">
                  <c:v>1.00007890992777</c:v>
                </c:pt>
                <c:pt idx="30">
                  <c:v>0</c:v>
                </c:pt>
                <c:pt idx="31">
                  <c:v>-0.97052211133546995</c:v>
                </c:pt>
                <c:pt idx="32">
                  <c:v>-1.81855876033582</c:v>
                </c:pt>
                <c:pt idx="33">
                  <c:v>-2.4657661163963498</c:v>
                </c:pt>
                <c:pt idx="34">
                  <c:v>-2.85552616617918</c:v>
                </c:pt>
                <c:pt idx="35">
                  <c:v>-2.9577768218340799</c:v>
                </c:pt>
                <c:pt idx="36">
                  <c:v>-2.7711326138994798</c:v>
                </c:pt>
                <c:pt idx="37">
                  <c:v>-2.3221710765358501</c:v>
                </c:pt>
                <c:pt idx="38">
                  <c:v>-1.6620375633191</c:v>
                </c:pt>
                <c:pt idx="39">
                  <c:v>-0.86077589482931005</c:v>
                </c:pt>
                <c:pt idx="40">
                  <c:v>0</c:v>
                </c:pt>
                <c:pt idx="41">
                  <c:v>0.83533612252333</c:v>
                </c:pt>
                <c:pt idx="42">
                  <c:v>1.56524803061871</c:v>
                </c:pt>
                <c:pt idx="43">
                  <c:v>2.1223045643809701</c:v>
                </c:pt>
                <c:pt idx="44">
                  <c:v>2.4577741481208801</c:v>
                </c:pt>
                <c:pt idx="45">
                  <c:v>2.5457821030377499</c:v>
                </c:pt>
                <c:pt idx="46">
                  <c:v>2.3851359445149001</c:v>
                </c:pt>
                <c:pt idx="47">
                  <c:v>1.9987111681979699</c:v>
                </c:pt>
                <c:pt idx="48">
                  <c:v>1.4305289878668099</c:v>
                </c:pt>
                <c:pt idx="49">
                  <c:v>0.74087667859399997</c:v>
                </c:pt>
                <c:pt idx="50">
                  <c:v>0</c:v>
                </c:pt>
                <c:pt idx="51">
                  <c:v>-0.71898046365181001</c:v>
                </c:pt>
                <c:pt idx="52">
                  <c:v>-1.3472214650371299</c:v>
                </c:pt>
                <c:pt idx="53">
                  <c:v>-1.8266844669660101</c:v>
                </c:pt>
                <c:pt idx="54">
                  <c:v>-2.1154258135389399</c:v>
                </c:pt>
                <c:pt idx="55">
                  <c:v>-2.1911749623247498</c:v>
                </c:pt>
                <c:pt idx="56">
                  <c:v>-2.0529055323020899</c:v>
                </c:pt>
                <c:pt idx="57">
                  <c:v>-1.7203066450378399</c:v>
                </c:pt>
                <c:pt idx="58">
                  <c:v>-1.23126771036422</c:v>
                </c:pt>
                <c:pt idx="59">
                  <c:v>-0.63767846681315998</c:v>
                </c:pt>
                <c:pt idx="60">
                  <c:v>0</c:v>
                </c:pt>
                <c:pt idx="61">
                  <c:v>0.61883221995890003</c:v>
                </c:pt>
                <c:pt idx="62">
                  <c:v>1.15956426096851</c:v>
                </c:pt>
                <c:pt idx="63">
                  <c:v>1.5722418911294</c:v>
                </c:pt>
                <c:pt idx="64">
                  <c:v>1.82076387124844</c:v>
                </c:pt>
                <c:pt idx="65">
                  <c:v>1.8859617678157801</c:v>
                </c:pt>
                <c:pt idx="66">
                  <c:v>1.76695216649954</c:v>
                </c:pt>
                <c:pt idx="67">
                  <c:v>1.4806816512811001</c:v>
                </c:pt>
                <c:pt idx="68">
                  <c:v>1.0597619394251101</c:v>
                </c:pt>
                <c:pt idx="69">
                  <c:v>0.54885494278058999</c:v>
                </c:pt>
                <c:pt idx="70">
                  <c:v>0</c:v>
                </c:pt>
                <c:pt idx="71">
                  <c:v>-0.53263382778745005</c:v>
                </c:pt>
                <c:pt idx="72">
                  <c:v>-0.99804620859302995</c:v>
                </c:pt>
                <c:pt idx="73">
                  <c:v>-1.3532411365646999</c:v>
                </c:pt>
                <c:pt idx="74">
                  <c:v>-1.5671459871700999</c:v>
                </c:pt>
                <c:pt idx="75">
                  <c:v>-1.62326233679175</c:v>
                </c:pt>
                <c:pt idx="76">
                  <c:v>-1.52082982366769</c:v>
                </c:pt>
                <c:pt idx="77">
                  <c:v>-1.2744345078038699</c:v>
                </c:pt>
                <c:pt idx="78">
                  <c:v>-0.91214555437487999</c:v>
                </c:pt>
                <c:pt idx="79">
                  <c:v>-0.47240382715156998</c:v>
                </c:pt>
                <c:pt idx="80">
                  <c:v>0</c:v>
                </c:pt>
                <c:pt idx="81">
                  <c:v>0.45844218409046</c:v>
                </c:pt>
                <c:pt idx="82">
                  <c:v>0.85902633257681005</c:v>
                </c:pt>
                <c:pt idx="83">
                  <c:v>1.16474544026774</c:v>
                </c:pt>
                <c:pt idx="84">
                  <c:v>1.3488550513798201</c:v>
                </c:pt>
                <c:pt idx="85">
                  <c:v>1.39715484110704</c:v>
                </c:pt>
                <c:pt idx="86">
                  <c:v>1.3089903600158901</c:v>
                </c:pt>
                <c:pt idx="87">
                  <c:v>1.0969159462981299</c:v>
                </c:pt>
                <c:pt idx="88">
                  <c:v>0.78509095431110998</c:v>
                </c:pt>
                <c:pt idx="89">
                  <c:v>0.40660174212307998</c:v>
                </c:pt>
                <c:pt idx="90">
                  <c:v>0</c:v>
                </c:pt>
                <c:pt idx="91">
                  <c:v>-0.39458484457638998</c:v>
                </c:pt>
                <c:pt idx="92">
                  <c:v>-0.73937081640802005</c:v>
                </c:pt>
                <c:pt idx="93">
                  <c:v>-1.00250569094316</c:v>
                </c:pt>
                <c:pt idx="94">
                  <c:v>-1.16097030176385</c:v>
                </c:pt>
                <c:pt idx="95">
                  <c:v>-1.2025423160417099</c:v>
                </c:pt>
                <c:pt idx="96">
                  <c:v>-1.12665844392919</c:v>
                </c:pt>
                <c:pt idx="97">
                  <c:v>-0.94412430444663997</c:v>
                </c:pt>
                <c:pt idx="98">
                  <c:v>-0.67573404659474001</c:v>
                </c:pt>
                <c:pt idx="99">
                  <c:v>-0.34996536267366002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2C-40C6-A1A0-CD5FFDF8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767359"/>
        <c:axId val="1656766879"/>
      </c:scatterChart>
      <c:valAx>
        <c:axId val="165676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66879"/>
        <c:crosses val="autoZero"/>
        <c:crossBetween val="midCat"/>
      </c:valAx>
      <c:valAx>
        <c:axId val="165676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6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diff visualiser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wave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1.6942135886762761</c:v>
                </c:pt>
                <c:pt idx="2">
                  <c:v>2.633807449588752</c:v>
                </c:pt>
                <c:pt idx="3">
                  <c:v>2.5305343823255884</c:v>
                </c:pt>
                <c:pt idx="4">
                  <c:v>1.5026326559609058</c:v>
                </c:pt>
                <c:pt idx="5">
                  <c:v>3.0092001513589812E-16</c:v>
                </c:pt>
                <c:pt idx="6">
                  <c:v>-1.3871047673318777</c:v>
                </c:pt>
                <c:pt idx="7">
                  <c:v>-2.1563791566641979</c:v>
                </c:pt>
                <c:pt idx="8">
                  <c:v>-2.0718263205311542</c:v>
                </c:pt>
                <c:pt idx="9">
                  <c:v>-1.2302515660144406</c:v>
                </c:pt>
                <c:pt idx="10">
                  <c:v>-4.9274494121690304E-16</c:v>
                </c:pt>
                <c:pt idx="11">
                  <c:v>1.1356653307556879</c:v>
                </c:pt>
                <c:pt idx="12">
                  <c:v>1.7654939308573419</c:v>
                </c:pt>
                <c:pt idx="13">
                  <c:v>1.6962679236552567</c:v>
                </c:pt>
                <c:pt idx="14">
                  <c:v>1.0072447911183695</c:v>
                </c:pt>
                <c:pt idx="15">
                  <c:v>6.0513815519682143E-16</c:v>
                </c:pt>
                <c:pt idx="16">
                  <c:v>-0.92980413149415853</c:v>
                </c:pt>
                <c:pt idx="17">
                  <c:v>-1.4454641755654378</c:v>
                </c:pt>
                <c:pt idx="18">
                  <c:v>-1.3887867145562929</c:v>
                </c:pt>
                <c:pt idx="19">
                  <c:v>-0.82466228636621741</c:v>
                </c:pt>
                <c:pt idx="20">
                  <c:v>-6.605936233606857E-16</c:v>
                </c:pt>
                <c:pt idx="21">
                  <c:v>0.76125923679323115</c:v>
                </c:pt>
                <c:pt idx="22">
                  <c:v>1.1834459730079359</c:v>
                </c:pt>
                <c:pt idx="23">
                  <c:v>1.1370423926733706</c:v>
                </c:pt>
                <c:pt idx="24">
                  <c:v>0.67517637475162373</c:v>
                </c:pt>
                <c:pt idx="25">
                  <c:v>6.7606039341575876E-16</c:v>
                </c:pt>
                <c:pt idx="26">
                  <c:v>-0.62326634822729166</c:v>
                </c:pt>
                <c:pt idx="27">
                  <c:v>-0.96892361270789162</c:v>
                </c:pt>
                <c:pt idx="28">
                  <c:v>-0.93093157443505858</c:v>
                </c:pt>
                <c:pt idx="29">
                  <c:v>-0.5527876617608587</c:v>
                </c:pt>
                <c:pt idx="30">
                  <c:v>-6.6421372203297681E-16</c:v>
                </c:pt>
                <c:pt idx="31">
                  <c:v>0.51028732665229404</c:v>
                </c:pt>
                <c:pt idx="32">
                  <c:v>0.79328755910737081</c:v>
                </c:pt>
                <c:pt idx="33">
                  <c:v>0.76218230900128681</c:v>
                </c:pt>
                <c:pt idx="34">
                  <c:v>0.45258425860568458</c:v>
                </c:pt>
                <c:pt idx="35">
                  <c:v>6.3444756765225314E-16</c:v>
                </c:pt>
                <c:pt idx="36">
                  <c:v>-0.41778792723618285</c:v>
                </c:pt>
                <c:pt idx="37">
                  <c:v>-0.64948892067537167</c:v>
                </c:pt>
                <c:pt idx="38">
                  <c:v>-0.62402209583133861</c:v>
                </c:pt>
                <c:pt idx="39">
                  <c:v>-0.37054465087947225</c:v>
                </c:pt>
                <c:pt idx="40">
                  <c:v>-5.9364769697419789E-16</c:v>
                </c:pt>
                <c:pt idx="41">
                  <c:v>0.34205582429296738</c:v>
                </c:pt>
                <c:pt idx="42">
                  <c:v>0.53175655314035275</c:v>
                </c:pt>
                <c:pt idx="43">
                  <c:v>0.51090608045729247</c:v>
                </c:pt>
                <c:pt idx="44">
                  <c:v>0.30337630106356667</c:v>
                </c:pt>
                <c:pt idx="45">
                  <c:v>5.4679232925753144E-16</c:v>
                </c:pt>
                <c:pt idx="46">
                  <c:v>-0.28005162261809097</c:v>
                </c:pt>
                <c:pt idx="47">
                  <c:v>-0.43536544320675291</c:v>
                </c:pt>
                <c:pt idx="48">
                  <c:v>-0.41829452000491912</c:v>
                </c:pt>
                <c:pt idx="49">
                  <c:v>-0.2483835074357866</c:v>
                </c:pt>
                <c:pt idx="50">
                  <c:v>-4.9741743945586956E-16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4-439C-81F4-46B14430595E}"/>
            </c:ext>
          </c:extLst>
        </c:ser>
        <c:ser>
          <c:idx val="1"/>
          <c:order val="1"/>
          <c:tx>
            <c:v>wave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Sheet2!$B$2:$B$52</c:f>
              <c:numCache>
                <c:formatCode>General</c:formatCode>
                <c:ptCount val="51"/>
                <c:pt idx="0">
                  <c:v>0</c:v>
                </c:pt>
                <c:pt idx="1">
                  <c:v>0.78943151720684801</c:v>
                </c:pt>
                <c:pt idx="2">
                  <c:v>1.399734879902532</c:v>
                </c:pt>
                <c:pt idx="3">
                  <c:v>1.7384004183951096</c:v>
                </c:pt>
                <c:pt idx="4">
                  <c:v>1.7641235875296084</c:v>
                </c:pt>
                <c:pt idx="5">
                  <c:v>1.4907899456479956</c:v>
                </c:pt>
                <c:pt idx="6">
                  <c:v>0.98191902389352392</c:v>
                </c:pt>
                <c:pt idx="7">
                  <c:v>0.33705988225980021</c:v>
                </c:pt>
                <c:pt idx="8">
                  <c:v>-0.32709825727740882</c:v>
                </c:pt>
                <c:pt idx="9">
                  <c:v>-0.89740641734737547</c:v>
                </c:pt>
                <c:pt idx="10">
                  <c:v>-1.2831347973935079</c:v>
                </c:pt>
                <c:pt idx="11">
                  <c:v>-1.4299707879959092</c:v>
                </c:pt>
                <c:pt idx="12">
                  <c:v>-1.3270592323494328</c:v>
                </c:pt>
                <c:pt idx="13">
                  <c:v>-1.0063026256744176</c:v>
                </c:pt>
                <c:pt idx="14">
                  <c:v>-0.53449003567041264</c:v>
                </c:pt>
                <c:pt idx="15">
                  <c:v>-3.1247565790626193E-16</c:v>
                </c:pt>
                <c:pt idx="16">
                  <c:v>0.50336375914857401</c:v>
                </c:pt>
                <c:pt idx="17">
                  <c:v>0.89251036423277641</c:v>
                </c:pt>
                <c:pt idx="18">
                  <c:v>1.108453045559791</c:v>
                </c:pt>
                <c:pt idx="19">
                  <c:v>1.1248548623488759</c:v>
                </c:pt>
                <c:pt idx="20">
                  <c:v>0.95056963749985579</c:v>
                </c:pt>
                <c:pt idx="21">
                  <c:v>0.62609921224748366</c:v>
                </c:pt>
                <c:pt idx="22">
                  <c:v>0.21491886971116872</c:v>
                </c:pt>
                <c:pt idx="23">
                  <c:v>-0.20856705718649676</c:v>
                </c:pt>
                <c:pt idx="24">
                  <c:v>-0.57221159514672448</c:v>
                </c:pt>
                <c:pt idx="25">
                  <c:v>-0.81816286914360126</c:v>
                </c:pt>
                <c:pt idx="26">
                  <c:v>-0.91178963042296191</c:v>
                </c:pt>
                <c:pt idx="27">
                  <c:v>-0.84617032541557835</c:v>
                </c:pt>
                <c:pt idx="28">
                  <c:v>-0.64164688318091589</c:v>
                </c:pt>
                <c:pt idx="29">
                  <c:v>-0.3408058935047818</c:v>
                </c:pt>
                <c:pt idx="30">
                  <c:v>-3.9848655235513474E-16</c:v>
                </c:pt>
                <c:pt idx="31">
                  <c:v>0.32095890333929322</c:v>
                </c:pt>
                <c:pt idx="32">
                  <c:v>0.5690897338490204</c:v>
                </c:pt>
                <c:pt idx="33">
                  <c:v>0.70678086659981476</c:v>
                </c:pt>
                <c:pt idx="34">
                  <c:v>0.71723912672227785</c:v>
                </c:pt>
                <c:pt idx="35">
                  <c:v>0.60610996094681224</c:v>
                </c:pt>
                <c:pt idx="36">
                  <c:v>0.39921848343721145</c:v>
                </c:pt>
                <c:pt idx="37">
                  <c:v>0.1370383216425734</c:v>
                </c:pt>
                <c:pt idx="38">
                  <c:v>-0.13298822716301847</c:v>
                </c:pt>
                <c:pt idx="39">
                  <c:v>-0.36485822174995225</c:v>
                </c:pt>
                <c:pt idx="40">
                  <c:v>-0.52168367797760073</c:v>
                </c:pt>
                <c:pt idx="41">
                  <c:v>-0.58138273671449314</c:v>
                </c:pt>
                <c:pt idx="42">
                  <c:v>-0.53954202055192968</c:v>
                </c:pt>
                <c:pt idx="43">
                  <c:v>-0.40913211611652006</c:v>
                </c:pt>
                <c:pt idx="44">
                  <c:v>-0.21730743193726013</c:v>
                </c:pt>
                <c:pt idx="45">
                  <c:v>-3.8112936573650638E-16</c:v>
                </c:pt>
                <c:pt idx="46">
                  <c:v>0.20465243228278401</c:v>
                </c:pt>
                <c:pt idx="47">
                  <c:v>0.36286763510107822</c:v>
                </c:pt>
                <c:pt idx="48">
                  <c:v>0.45066337757167496</c:v>
                </c:pt>
                <c:pt idx="49">
                  <c:v>0.45733185864274084</c:v>
                </c:pt>
                <c:pt idx="50">
                  <c:v>0.38647277407806074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4-439C-81F4-46B14430595E}"/>
            </c:ext>
          </c:extLst>
        </c:ser>
        <c:ser>
          <c:idx val="2"/>
          <c:order val="2"/>
          <c:tx>
            <c:v>wave diff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Sheet2!$C$2:$C$52</c:f>
              <c:numCache>
                <c:formatCode>General</c:formatCode>
                <c:ptCount val="51"/>
                <c:pt idx="0">
                  <c:v>0</c:v>
                </c:pt>
                <c:pt idx="1">
                  <c:v>0.90478207146942813</c:v>
                </c:pt>
                <c:pt idx="2">
                  <c:v>1.23407256968622</c:v>
                </c:pt>
                <c:pt idx="3">
                  <c:v>0.79213396393047875</c:v>
                </c:pt>
                <c:pt idx="4">
                  <c:v>-0.26149093156870262</c:v>
                </c:pt>
                <c:pt idx="5">
                  <c:v>-1.4907899456479954</c:v>
                </c:pt>
                <c:pt idx="6">
                  <c:v>-2.3690237912254015</c:v>
                </c:pt>
                <c:pt idx="7">
                  <c:v>-2.4934390389239982</c:v>
                </c:pt>
                <c:pt idx="8">
                  <c:v>-1.7447280632537454</c:v>
                </c:pt>
                <c:pt idx="9">
                  <c:v>-0.33284514866706516</c:v>
                </c:pt>
                <c:pt idx="10">
                  <c:v>1.2831347973935074</c:v>
                </c:pt>
                <c:pt idx="11">
                  <c:v>2.565636118751597</c:v>
                </c:pt>
                <c:pt idx="12">
                  <c:v>3.0925531632067749</c:v>
                </c:pt>
                <c:pt idx="13">
                  <c:v>2.7025705493296743</c:v>
                </c:pt>
                <c:pt idx="14">
                  <c:v>1.5417348267887823</c:v>
                </c:pt>
                <c:pt idx="15">
                  <c:v>9.1761381310308341E-16</c:v>
                </c:pt>
                <c:pt idx="16">
                  <c:v>-1.4331678906427325</c:v>
                </c:pt>
                <c:pt idx="17">
                  <c:v>-2.3379745397982141</c:v>
                </c:pt>
                <c:pt idx="18">
                  <c:v>-2.4972397601160838</c:v>
                </c:pt>
                <c:pt idx="19">
                  <c:v>-1.9495171487150933</c:v>
                </c:pt>
                <c:pt idx="20">
                  <c:v>-0.95056963749985646</c:v>
                </c:pt>
                <c:pt idx="21">
                  <c:v>0.13516002454574749</c:v>
                </c:pt>
                <c:pt idx="22">
                  <c:v>0.96852710329676717</c:v>
                </c:pt>
                <c:pt idx="23">
                  <c:v>1.3456094498598674</c:v>
                </c:pt>
                <c:pt idx="24">
                  <c:v>1.2473879698983481</c:v>
                </c:pt>
                <c:pt idx="25">
                  <c:v>0.81816286914360192</c:v>
                </c:pt>
                <c:pt idx="26">
                  <c:v>0.28852328219567025</c:v>
                </c:pt>
                <c:pt idx="27">
                  <c:v>-0.12275328729231327</c:v>
                </c:pt>
                <c:pt idx="28">
                  <c:v>-0.28928469125414269</c:v>
                </c:pt>
                <c:pt idx="29">
                  <c:v>-0.2119817682560769</c:v>
                </c:pt>
                <c:pt idx="30">
                  <c:v>-2.6572716967784207E-16</c:v>
                </c:pt>
                <c:pt idx="31">
                  <c:v>0.18932842331300082</c:v>
                </c:pt>
                <c:pt idx="32">
                  <c:v>0.22419782525835041</c:v>
                </c:pt>
                <c:pt idx="33">
                  <c:v>5.5401442401472045E-2</c:v>
                </c:pt>
                <c:pt idx="34">
                  <c:v>-0.26465486811659328</c:v>
                </c:pt>
                <c:pt idx="35">
                  <c:v>-0.60610996094681158</c:v>
                </c:pt>
                <c:pt idx="36">
                  <c:v>-0.8170064106733943</c:v>
                </c:pt>
                <c:pt idx="37">
                  <c:v>-0.78652724231794502</c:v>
                </c:pt>
                <c:pt idx="38">
                  <c:v>-0.49103386866832011</c:v>
                </c:pt>
                <c:pt idx="39">
                  <c:v>-5.6864291295199987E-3</c:v>
                </c:pt>
                <c:pt idx="40">
                  <c:v>0.52168367797760018</c:v>
                </c:pt>
                <c:pt idx="41">
                  <c:v>0.92343856100746047</c:v>
                </c:pt>
                <c:pt idx="42">
                  <c:v>1.0712985736922824</c:v>
                </c:pt>
                <c:pt idx="43">
                  <c:v>0.92003819657381247</c:v>
                </c:pt>
                <c:pt idx="44">
                  <c:v>0.52068373300082682</c:v>
                </c:pt>
                <c:pt idx="45">
                  <c:v>9.2792169499403778E-16</c:v>
                </c:pt>
                <c:pt idx="46">
                  <c:v>-0.48470405490087498</c:v>
                </c:pt>
                <c:pt idx="47">
                  <c:v>-0.79823307830783108</c:v>
                </c:pt>
                <c:pt idx="48">
                  <c:v>-0.86895789757659414</c:v>
                </c:pt>
                <c:pt idx="49">
                  <c:v>-0.70571536607852747</c:v>
                </c:pt>
                <c:pt idx="50">
                  <c:v>-0.38647277407806124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4-439C-81F4-46B144305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155680"/>
        <c:axId val="1775682847"/>
      </c:scatterChart>
      <c:valAx>
        <c:axId val="145715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82847"/>
        <c:crosses val="autoZero"/>
        <c:crossBetween val="midCat"/>
      </c:valAx>
      <c:valAx>
        <c:axId val="17756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5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diff visualiser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wave 1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1.6942135886762761</c:v>
                </c:pt>
                <c:pt idx="2">
                  <c:v>2.633807449588752</c:v>
                </c:pt>
                <c:pt idx="3">
                  <c:v>2.5305343823255884</c:v>
                </c:pt>
                <c:pt idx="4">
                  <c:v>1.5026326559609058</c:v>
                </c:pt>
                <c:pt idx="5">
                  <c:v>3.0092001513589812E-16</c:v>
                </c:pt>
                <c:pt idx="6">
                  <c:v>-1.3871047673318777</c:v>
                </c:pt>
                <c:pt idx="7">
                  <c:v>-2.1563791566641979</c:v>
                </c:pt>
                <c:pt idx="8">
                  <c:v>-2.0718263205311542</c:v>
                </c:pt>
                <c:pt idx="9">
                  <c:v>-1.2302515660144406</c:v>
                </c:pt>
                <c:pt idx="10">
                  <c:v>-4.9274494121690304E-16</c:v>
                </c:pt>
                <c:pt idx="11">
                  <c:v>1.1356653307556879</c:v>
                </c:pt>
                <c:pt idx="12">
                  <c:v>1.7654939308573419</c:v>
                </c:pt>
                <c:pt idx="13">
                  <c:v>1.6962679236552567</c:v>
                </c:pt>
                <c:pt idx="14">
                  <c:v>1.0072447911183695</c:v>
                </c:pt>
                <c:pt idx="15">
                  <c:v>6.0513815519682143E-16</c:v>
                </c:pt>
                <c:pt idx="16">
                  <c:v>-0.92980413149415853</c:v>
                </c:pt>
                <c:pt idx="17">
                  <c:v>-1.4454641755654378</c:v>
                </c:pt>
                <c:pt idx="18">
                  <c:v>-1.3887867145562929</c:v>
                </c:pt>
                <c:pt idx="19">
                  <c:v>-0.82466228636621741</c:v>
                </c:pt>
                <c:pt idx="20">
                  <c:v>-6.605936233606857E-16</c:v>
                </c:pt>
                <c:pt idx="21">
                  <c:v>0.76125923679323115</c:v>
                </c:pt>
                <c:pt idx="22">
                  <c:v>1.1834459730079359</c:v>
                </c:pt>
                <c:pt idx="23">
                  <c:v>1.1370423926733706</c:v>
                </c:pt>
                <c:pt idx="24">
                  <c:v>0.67517637475162373</c:v>
                </c:pt>
                <c:pt idx="25">
                  <c:v>6.7606039341575876E-16</c:v>
                </c:pt>
                <c:pt idx="26">
                  <c:v>-0.62326634822729166</c:v>
                </c:pt>
                <c:pt idx="27">
                  <c:v>-0.96892361270789162</c:v>
                </c:pt>
                <c:pt idx="28">
                  <c:v>-0.93093157443505858</c:v>
                </c:pt>
                <c:pt idx="29">
                  <c:v>-0.5527876617608587</c:v>
                </c:pt>
                <c:pt idx="30">
                  <c:v>-6.6421372203297681E-16</c:v>
                </c:pt>
                <c:pt idx="31">
                  <c:v>0.51028732665229404</c:v>
                </c:pt>
                <c:pt idx="32">
                  <c:v>0.79328755910737081</c:v>
                </c:pt>
                <c:pt idx="33">
                  <c:v>0.76218230900128681</c:v>
                </c:pt>
                <c:pt idx="34">
                  <c:v>0.45258425860568458</c:v>
                </c:pt>
                <c:pt idx="35">
                  <c:v>6.3444756765225314E-16</c:v>
                </c:pt>
                <c:pt idx="36">
                  <c:v>-0.41778792723618285</c:v>
                </c:pt>
                <c:pt idx="37">
                  <c:v>-0.64948892067537167</c:v>
                </c:pt>
                <c:pt idx="38">
                  <c:v>-0.62402209583133861</c:v>
                </c:pt>
                <c:pt idx="39">
                  <c:v>-0.37054465087947225</c:v>
                </c:pt>
                <c:pt idx="40">
                  <c:v>-5.9364769697419789E-16</c:v>
                </c:pt>
                <c:pt idx="41">
                  <c:v>0.34205582429296738</c:v>
                </c:pt>
                <c:pt idx="42">
                  <c:v>0.53175655314035275</c:v>
                </c:pt>
                <c:pt idx="43">
                  <c:v>0.51090608045729247</c:v>
                </c:pt>
                <c:pt idx="44">
                  <c:v>0.30337630106356667</c:v>
                </c:pt>
                <c:pt idx="45">
                  <c:v>5.4679232925753144E-16</c:v>
                </c:pt>
                <c:pt idx="46">
                  <c:v>-0.28005162261809097</c:v>
                </c:pt>
                <c:pt idx="47">
                  <c:v>-0.43536544320675291</c:v>
                </c:pt>
                <c:pt idx="48">
                  <c:v>-0.41829452000491912</c:v>
                </c:pt>
                <c:pt idx="49">
                  <c:v>-0.2483835074357866</c:v>
                </c:pt>
                <c:pt idx="50">
                  <c:v>-4.9741743945586956E-16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3-4CED-94EE-6873BCA3C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7155680"/>
        <c:axId val="1775682847"/>
      </c:barChart>
      <c:catAx>
        <c:axId val="145715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82847"/>
        <c:crosses val="autoZero"/>
        <c:auto val="1"/>
        <c:lblAlgn val="ctr"/>
        <c:lblOffset val="100"/>
        <c:noMultiLvlLbl val="0"/>
      </c:catAx>
      <c:valAx>
        <c:axId val="17756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5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Sheet2!$T$2:$T$102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Sheet2!$U$2:$U$102</c:f>
              <c:numCache>
                <c:formatCode>General</c:formatCode>
                <c:ptCount val="101"/>
                <c:pt idx="0">
                  <c:v>0</c:v>
                </c:pt>
                <c:pt idx="1">
                  <c:v>0.20875107510077309</c:v>
                </c:pt>
                <c:pt idx="2">
                  <c:v>0.41588639732806204</c:v>
                </c:pt>
                <c:pt idx="3">
                  <c:v>0.62105147632199176</c:v>
                </c:pt>
                <c:pt idx="4">
                  <c:v>0.82389740609808326</c:v>
                </c:pt>
                <c:pt idx="5">
                  <c:v>1.0240814450381757</c:v>
                </c:pt>
                <c:pt idx="6">
                  <c:v>1.2212675815745155</c:v>
                </c:pt>
                <c:pt idx="7">
                  <c:v>1.4151270846580788</c:v>
                </c:pt>
                <c:pt idx="8">
                  <c:v>1.6053390381344068</c:v>
                </c:pt>
                <c:pt idx="9">
                  <c:v>1.7915908581837463</c:v>
                </c:pt>
                <c:pt idx="10">
                  <c:v>1.9735787930171198</c:v>
                </c:pt>
                <c:pt idx="11">
                  <c:v>2.1510084040559789</c:v>
                </c:pt>
                <c:pt idx="12">
                  <c:v>2.3235950278602573</c:v>
                </c:pt>
                <c:pt idx="13">
                  <c:v>2.4910642181078968</c:v>
                </c:pt>
                <c:pt idx="14">
                  <c:v>2.6531521669681624</c:v>
                </c:pt>
                <c:pt idx="15">
                  <c:v>2.8096061052511883</c:v>
                </c:pt>
                <c:pt idx="16">
                  <c:v>2.9601846807572589</c:v>
                </c:pt>
                <c:pt idx="17">
                  <c:v>3.1046583142910649</c:v>
                </c:pt>
                <c:pt idx="18">
                  <c:v>3.2428095328486362</c:v>
                </c:pt>
                <c:pt idx="19">
                  <c:v>3.3744332795277709</c:v>
                </c:pt>
                <c:pt idx="20">
                  <c:v>3.4993371997563307</c:v>
                </c:pt>
                <c:pt idx="21">
                  <c:v>3.6173419034768903</c:v>
                </c:pt>
                <c:pt idx="22">
                  <c:v>3.7282812029706172</c:v>
                </c:pt>
                <c:pt idx="23">
                  <c:v>3.8320023260480069</c:v>
                </c:pt>
                <c:pt idx="24">
                  <c:v>3.9283661043790357</c:v>
                </c:pt>
                <c:pt idx="25">
                  <c:v>4.0172471367803393</c:v>
                </c:pt>
                <c:pt idx="26">
                  <c:v>4.0985339273221628</c:v>
                </c:pt>
                <c:pt idx="27">
                  <c:v>4.172128998162913</c:v>
                </c:pt>
                <c:pt idx="28">
                  <c:v>4.2379489770641268</c:v>
                </c:pt>
                <c:pt idx="29">
                  <c:v>4.2959246595834495</c:v>
                </c:pt>
                <c:pt idx="30">
                  <c:v>4.3460010459877747</c:v>
                </c:pt>
                <c:pt idx="31">
                  <c:v>4.3881373529728682</c:v>
                </c:pt>
                <c:pt idx="32">
                  <c:v>4.422307000319579</c:v>
                </c:pt>
                <c:pt idx="33">
                  <c:v>4.4484975726600444</c:v>
                </c:pt>
                <c:pt idx="34">
                  <c:v>4.4667107565699551</c:v>
                </c:pt>
                <c:pt idx="35">
                  <c:v>4.4769622532451434</c:v>
                </c:pt>
                <c:pt idx="36">
                  <c:v>4.4792816670619988</c:v>
                </c:pt>
                <c:pt idx="37">
                  <c:v>4.4737123703619481</c:v>
                </c:pt>
                <c:pt idx="38">
                  <c:v>4.4603113448399139</c:v>
                </c:pt>
                <c:pt idx="39">
                  <c:v>4.4391489999555569</c:v>
                </c:pt>
                <c:pt idx="40">
                  <c:v>4.4103089688240207</c:v>
                </c:pt>
                <c:pt idx="41">
                  <c:v>4.3738878820796989</c:v>
                </c:pt>
                <c:pt idx="42">
                  <c:v>4.3299951202423781</c:v>
                </c:pt>
                <c:pt idx="43">
                  <c:v>4.2787525451496977</c:v>
                </c:pt>
                <c:pt idx="44">
                  <c:v>4.2202942110533144</c:v>
                </c:pt>
                <c:pt idx="45">
                  <c:v>4.154766056008329</c:v>
                </c:pt>
                <c:pt idx="46">
                  <c:v>4.0823255742164273</c:v>
                </c:pt>
                <c:pt idx="47">
                  <c:v>4.0031414700126966</c:v>
                </c:pt>
                <c:pt idx="48">
                  <c:v>3.9173932942142473</c:v>
                </c:pt>
                <c:pt idx="49">
                  <c:v>3.8252710635754656</c:v>
                </c:pt>
                <c:pt idx="50">
                  <c:v>3.7269748641199874</c:v>
                </c:pt>
                <c:pt idx="51">
                  <c:v>3.6227144391431758</c:v>
                </c:pt>
                <c:pt idx="52">
                  <c:v>3.5127087627011675</c:v>
                </c:pt>
                <c:pt idx="53">
                  <c:v>3.3971855994230991</c:v>
                </c:pt>
                <c:pt idx="54">
                  <c:v>3.2763810515022134</c:v>
                </c:pt>
                <c:pt idx="55">
                  <c:v>3.150539093738975</c:v>
                </c:pt>
                <c:pt idx="56">
                  <c:v>3.0199110975250671</c:v>
                </c:pt>
                <c:pt idx="57">
                  <c:v>2.8847553446713023</c:v>
                </c:pt>
                <c:pt idx="58">
                  <c:v>2.7453365319949166</c:v>
                </c:pt>
                <c:pt idx="59">
                  <c:v>2.60192526759249</c:v>
                </c:pt>
                <c:pt idx="60">
                  <c:v>2.4547975597338052</c:v>
                </c:pt>
                <c:pt idx="61">
                  <c:v>2.3042342993193512</c:v>
                </c:pt>
                <c:pt idx="62">
                  <c:v>2.1505207368498356</c:v>
                </c:pt>
                <c:pt idx="63">
                  <c:v>1.9939459548600549</c:v>
                </c:pt>
                <c:pt idx="64">
                  <c:v>1.8348023367717472</c:v>
                </c:pt>
                <c:pt idx="65">
                  <c:v>1.6733850331206386</c:v>
                </c:pt>
                <c:pt idx="66">
                  <c:v>1.5099914261117888</c:v>
                </c:pt>
                <c:pt idx="67">
                  <c:v>1.3449205934545887</c:v>
                </c:pt>
                <c:pt idx="68">
                  <c:v>1.1784727724243076</c:v>
                </c:pt>
                <c:pt idx="69">
                  <c:v>1.0109488250910885</c:v>
                </c:pt>
                <c:pt idx="70">
                  <c:v>0.84264970564949337</c:v>
                </c:pt>
                <c:pt idx="71">
                  <c:v>0.673875930772595</c:v>
                </c:pt>
                <c:pt idx="72">
                  <c:v>0.50492705390356241</c:v>
                </c:pt>
                <c:pt idx="73">
                  <c:v>0.33610114438552208</c:v>
                </c:pt>
                <c:pt idx="74">
                  <c:v>0.16769427231636155</c:v>
                </c:pt>
                <c:pt idx="75">
                  <c:v>-6.603098277009967E-15</c:v>
                </c:pt>
                <c:pt idx="76">
                  <c:v>-0.16669111915143262</c:v>
                </c:pt>
                <c:pt idx="77">
                  <c:v>-0.33209203342787097</c:v>
                </c:pt>
                <c:pt idx="78">
                  <c:v>-0.49591967652757463</c:v>
                </c:pt>
                <c:pt idx="79">
                  <c:v>-0.65789544136310751</c:v>
                </c:pt>
                <c:pt idx="80">
                  <c:v>-0.81774564319352872</c:v>
                </c:pt>
                <c:pt idx="81">
                  <c:v>-0.97520197133229869</c:v>
                </c:pt>
                <c:pt idx="82">
                  <c:v>-1.1300019287051557</c:v>
                </c:pt>
                <c:pt idx="83">
                  <c:v>-1.2818892585579096</c:v>
                </c:pt>
                <c:pt idx="84">
                  <c:v>-1.4306143576407584</c:v>
                </c:pt>
                <c:pt idx="85">
                  <c:v>-1.5759346752237338</c:v>
                </c:pt>
                <c:pt idx="86">
                  <c:v>-1.717615097326429</c:v>
                </c:pt>
                <c:pt idx="87">
                  <c:v>-1.8554283155750695</c:v>
                </c:pt>
                <c:pt idx="88">
                  <c:v>-1.9891551801303085</c:v>
                </c:pt>
                <c:pt idx="89">
                  <c:v>-2.1185850361606722</c:v>
                </c:pt>
                <c:pt idx="90">
                  <c:v>-2.2435160433684449</c:v>
                </c:pt>
                <c:pt idx="91">
                  <c:v>-2.3637554781077275</c:v>
                </c:pt>
                <c:pt idx="92">
                  <c:v>-2.4791200176675674</c:v>
                </c:pt>
                <c:pt idx="93">
                  <c:v>-2.5894360063271602</c:v>
                </c:pt>
                <c:pt idx="94">
                  <c:v>-2.6945397028243248</c:v>
                </c:pt>
                <c:pt idx="95">
                  <c:v>-2.7942775089134573</c:v>
                </c:pt>
                <c:pt idx="96">
                  <c:v>-2.8885061787242199</c:v>
                </c:pt>
                <c:pt idx="97">
                  <c:v>-2.9770930086677616</c:v>
                </c:pt>
                <c:pt idx="98">
                  <c:v>-3.0599160076729963</c:v>
                </c:pt>
                <c:pt idx="99">
                  <c:v>-3.136864047571255</c:v>
                </c:pt>
                <c:pt idx="100">
                  <c:v>-3.2078369934837756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E-4AD9-8A90-F74847AD2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9978368"/>
        <c:axId val="129960128"/>
      </c:barChart>
      <c:catAx>
        <c:axId val="1299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0128"/>
        <c:crosses val="autoZero"/>
        <c:auto val="1"/>
        <c:lblAlgn val="ctr"/>
        <c:lblOffset val="100"/>
        <c:noMultiLvlLbl val="0"/>
      </c:catAx>
      <c:valAx>
        <c:axId val="1299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Sheet2!$T$2:$T$502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cat>
          <c:val>
            <c:numRef>
              <c:f>Sheet2!$U$2:$U$502</c:f>
              <c:numCache>
                <c:formatCode>General</c:formatCode>
                <c:ptCount val="501"/>
                <c:pt idx="0">
                  <c:v>0</c:v>
                </c:pt>
                <c:pt idx="1">
                  <c:v>0.20875107510077309</c:v>
                </c:pt>
                <c:pt idx="2">
                  <c:v>0.41588639732806204</c:v>
                </c:pt>
                <c:pt idx="3">
                  <c:v>0.62105147632199176</c:v>
                </c:pt>
                <c:pt idx="4">
                  <c:v>0.82389740609808326</c:v>
                </c:pt>
                <c:pt idx="5">
                  <c:v>1.0240814450381757</c:v>
                </c:pt>
                <c:pt idx="6">
                  <c:v>1.2212675815745155</c:v>
                </c:pt>
                <c:pt idx="7">
                  <c:v>1.4151270846580788</c:v>
                </c:pt>
                <c:pt idx="8">
                  <c:v>1.6053390381344068</c:v>
                </c:pt>
                <c:pt idx="9">
                  <c:v>1.7915908581837463</c:v>
                </c:pt>
                <c:pt idx="10">
                  <c:v>1.9735787930171198</c:v>
                </c:pt>
                <c:pt idx="11">
                  <c:v>2.1510084040559789</c:v>
                </c:pt>
                <c:pt idx="12">
                  <c:v>2.3235950278602573</c:v>
                </c:pt>
                <c:pt idx="13">
                  <c:v>2.4910642181078968</c:v>
                </c:pt>
                <c:pt idx="14">
                  <c:v>2.6531521669681624</c:v>
                </c:pt>
                <c:pt idx="15">
                  <c:v>2.8096061052511883</c:v>
                </c:pt>
                <c:pt idx="16">
                  <c:v>2.9601846807572589</c:v>
                </c:pt>
                <c:pt idx="17">
                  <c:v>3.1046583142910649</c:v>
                </c:pt>
                <c:pt idx="18">
                  <c:v>3.2428095328486362</c:v>
                </c:pt>
                <c:pt idx="19">
                  <c:v>3.3744332795277709</c:v>
                </c:pt>
                <c:pt idx="20">
                  <c:v>3.4993371997563307</c:v>
                </c:pt>
                <c:pt idx="21">
                  <c:v>3.6173419034768903</c:v>
                </c:pt>
                <c:pt idx="22">
                  <c:v>3.7282812029706172</c:v>
                </c:pt>
                <c:pt idx="23">
                  <c:v>3.8320023260480069</c:v>
                </c:pt>
                <c:pt idx="24">
                  <c:v>3.9283661043790357</c:v>
                </c:pt>
                <c:pt idx="25">
                  <c:v>4.0172471367803393</c:v>
                </c:pt>
                <c:pt idx="26">
                  <c:v>4.0985339273221628</c:v>
                </c:pt>
                <c:pt idx="27">
                  <c:v>4.172128998162913</c:v>
                </c:pt>
                <c:pt idx="28">
                  <c:v>4.2379489770641268</c:v>
                </c:pt>
                <c:pt idx="29">
                  <c:v>4.2959246595834495</c:v>
                </c:pt>
                <c:pt idx="30">
                  <c:v>4.3460010459877747</c:v>
                </c:pt>
                <c:pt idx="31">
                  <c:v>4.3881373529728682</c:v>
                </c:pt>
                <c:pt idx="32">
                  <c:v>4.422307000319579</c:v>
                </c:pt>
                <c:pt idx="33">
                  <c:v>4.4484975726600444</c:v>
                </c:pt>
                <c:pt idx="34">
                  <c:v>4.4667107565699551</c:v>
                </c:pt>
                <c:pt idx="35">
                  <c:v>4.4769622532451434</c:v>
                </c:pt>
                <c:pt idx="36">
                  <c:v>4.4792816670619988</c:v>
                </c:pt>
                <c:pt idx="37">
                  <c:v>4.4737123703619481</c:v>
                </c:pt>
                <c:pt idx="38">
                  <c:v>4.4603113448399139</c:v>
                </c:pt>
                <c:pt idx="39">
                  <c:v>4.4391489999555569</c:v>
                </c:pt>
                <c:pt idx="40">
                  <c:v>4.4103089688240207</c:v>
                </c:pt>
                <c:pt idx="41">
                  <c:v>4.3738878820796989</c:v>
                </c:pt>
                <c:pt idx="42">
                  <c:v>4.3299951202423781</c:v>
                </c:pt>
                <c:pt idx="43">
                  <c:v>4.2787525451496977</c:v>
                </c:pt>
                <c:pt idx="44">
                  <c:v>4.2202942110533144</c:v>
                </c:pt>
                <c:pt idx="45">
                  <c:v>4.154766056008329</c:v>
                </c:pt>
                <c:pt idx="46">
                  <c:v>4.0823255742164273</c:v>
                </c:pt>
                <c:pt idx="47">
                  <c:v>4.0031414700126966</c:v>
                </c:pt>
                <c:pt idx="48">
                  <c:v>3.9173932942142473</c:v>
                </c:pt>
                <c:pt idx="49">
                  <c:v>3.8252710635754656</c:v>
                </c:pt>
                <c:pt idx="50">
                  <c:v>3.7269748641199874</c:v>
                </c:pt>
                <c:pt idx="51">
                  <c:v>3.6227144391431758</c:v>
                </c:pt>
                <c:pt idx="52">
                  <c:v>3.5127087627011675</c:v>
                </c:pt>
                <c:pt idx="53">
                  <c:v>3.3971855994230991</c:v>
                </c:pt>
                <c:pt idx="54">
                  <c:v>3.2763810515022134</c:v>
                </c:pt>
                <c:pt idx="55">
                  <c:v>3.150539093738975</c:v>
                </c:pt>
                <c:pt idx="56">
                  <c:v>3.0199110975250671</c:v>
                </c:pt>
                <c:pt idx="57">
                  <c:v>2.8847553446713023</c:v>
                </c:pt>
                <c:pt idx="58">
                  <c:v>2.7453365319949166</c:v>
                </c:pt>
                <c:pt idx="59">
                  <c:v>2.60192526759249</c:v>
                </c:pt>
                <c:pt idx="60">
                  <c:v>2.4547975597338052</c:v>
                </c:pt>
                <c:pt idx="61">
                  <c:v>2.3042342993193512</c:v>
                </c:pt>
                <c:pt idx="62">
                  <c:v>2.1505207368498356</c:v>
                </c:pt>
                <c:pt idx="63">
                  <c:v>1.9939459548600549</c:v>
                </c:pt>
                <c:pt idx="64">
                  <c:v>1.8348023367717472</c:v>
                </c:pt>
                <c:pt idx="65">
                  <c:v>1.6733850331206386</c:v>
                </c:pt>
                <c:pt idx="66">
                  <c:v>1.5099914261117888</c:v>
                </c:pt>
                <c:pt idx="67">
                  <c:v>1.3449205934545887</c:v>
                </c:pt>
                <c:pt idx="68">
                  <c:v>1.1784727724243076</c:v>
                </c:pt>
                <c:pt idx="69">
                  <c:v>1.0109488250910885</c:v>
                </c:pt>
                <c:pt idx="70">
                  <c:v>0.84264970564949337</c:v>
                </c:pt>
                <c:pt idx="71">
                  <c:v>0.673875930772595</c:v>
                </c:pt>
                <c:pt idx="72">
                  <c:v>0.50492705390356241</c:v>
                </c:pt>
                <c:pt idx="73">
                  <c:v>0.33610114438552208</c:v>
                </c:pt>
                <c:pt idx="74">
                  <c:v>0.16769427231636155</c:v>
                </c:pt>
                <c:pt idx="75">
                  <c:v>-6.603098277009967E-15</c:v>
                </c:pt>
                <c:pt idx="76">
                  <c:v>-0.16669111915143262</c:v>
                </c:pt>
                <c:pt idx="77">
                  <c:v>-0.33209203342787097</c:v>
                </c:pt>
                <c:pt idx="78">
                  <c:v>-0.49591967652757463</c:v>
                </c:pt>
                <c:pt idx="79">
                  <c:v>-0.65789544136310751</c:v>
                </c:pt>
                <c:pt idx="80">
                  <c:v>-0.81774564319352872</c:v>
                </c:pt>
                <c:pt idx="81">
                  <c:v>-0.97520197133229869</c:v>
                </c:pt>
                <c:pt idx="82">
                  <c:v>-1.1300019287051557</c:v>
                </c:pt>
                <c:pt idx="83">
                  <c:v>-1.2818892585579096</c:v>
                </c:pt>
                <c:pt idx="84">
                  <c:v>-1.4306143576407584</c:v>
                </c:pt>
                <c:pt idx="85">
                  <c:v>-1.5759346752237338</c:v>
                </c:pt>
                <c:pt idx="86">
                  <c:v>-1.717615097326429</c:v>
                </c:pt>
                <c:pt idx="87">
                  <c:v>-1.8554283155750695</c:v>
                </c:pt>
                <c:pt idx="88">
                  <c:v>-1.9891551801303085</c:v>
                </c:pt>
                <c:pt idx="89">
                  <c:v>-2.1185850361606722</c:v>
                </c:pt>
                <c:pt idx="90">
                  <c:v>-2.2435160433684449</c:v>
                </c:pt>
                <c:pt idx="91">
                  <c:v>-2.3637554781077275</c:v>
                </c:pt>
                <c:pt idx="92">
                  <c:v>-2.4791200176675674</c:v>
                </c:pt>
                <c:pt idx="93">
                  <c:v>-2.5894360063271602</c:v>
                </c:pt>
                <c:pt idx="94">
                  <c:v>-2.6945397028243248</c:v>
                </c:pt>
                <c:pt idx="95">
                  <c:v>-2.7942775089134573</c:v>
                </c:pt>
                <c:pt idx="96">
                  <c:v>-2.8885061787242199</c:v>
                </c:pt>
                <c:pt idx="97">
                  <c:v>-2.9770930086677616</c:v>
                </c:pt>
                <c:pt idx="98">
                  <c:v>-3.0599160076729963</c:v>
                </c:pt>
                <c:pt idx="99">
                  <c:v>-3.136864047571255</c:v>
                </c:pt>
                <c:pt idx="100">
                  <c:v>-3.2078369934837756</c:v>
                </c:pt>
                <c:pt idx="101">
                  <c:v>-3.2727458141023158</c:v>
                </c:pt>
                <c:pt idx="102">
                  <c:v>-3.3315126717894019</c:v>
                </c:pt>
                <c:pt idx="103">
                  <c:v>-3.3840709924604191</c:v>
                </c:pt>
                <c:pt idx="104">
                  <c:v>-3.4303655152457435</c:v>
                </c:pt>
                <c:pt idx="105">
                  <c:v>-3.4703523219664563</c:v>
                </c:pt>
                <c:pt idx="106">
                  <c:v>-3.503998846492677</c:v>
                </c:pt>
                <c:pt idx="107">
                  <c:v>-3.5312838640883153</c:v>
                </c:pt>
                <c:pt idx="108">
                  <c:v>-3.5521974608807665</c:v>
                </c:pt>
                <c:pt idx="109">
                  <c:v>-3.5667409836280775</c:v>
                </c:pt>
                <c:pt idx="110">
                  <c:v>-3.5749269699897726</c:v>
                </c:pt>
                <c:pt idx="111">
                  <c:v>-3.5767790595405464</c:v>
                </c:pt>
                <c:pt idx="112">
                  <c:v>-3.5723318857984725</c:v>
                </c:pt>
                <c:pt idx="113">
                  <c:v>-3.5616309495711183</c:v>
                </c:pt>
                <c:pt idx="114">
                  <c:v>-3.5447324739539794</c:v>
                </c:pt>
                <c:pt idx="115">
                  <c:v>-3.5217032413459228</c:v>
                </c:pt>
                <c:pt idx="116">
                  <c:v>-3.4926204128757399</c:v>
                </c:pt>
                <c:pt idx="117">
                  <c:v>-3.4575713306624958</c:v>
                </c:pt>
                <c:pt idx="118">
                  <c:v>-3.4166533033599955</c:v>
                </c:pt>
                <c:pt idx="119">
                  <c:v>-3.3699733754623775</c:v>
                </c:pt>
                <c:pt idx="120">
                  <c:v>-3.3176480808735778</c:v>
                </c:pt>
                <c:pt idx="121">
                  <c:v>-3.2598031812680008</c:v>
                </c:pt>
                <c:pt idx="122">
                  <c:v>-3.1965733897933886</c:v>
                </c:pt>
                <c:pt idx="123">
                  <c:v>-3.1281020806892958</c:v>
                </c:pt>
                <c:pt idx="124">
                  <c:v>-3.0545409854159375</c:v>
                </c:pt>
                <c:pt idx="125">
                  <c:v>-2.9760498759083296</c:v>
                </c:pt>
                <c:pt idx="126">
                  <c:v>-2.8927962355895995</c:v>
                </c:pt>
                <c:pt idx="127">
                  <c:v>-2.8049549187950595</c:v>
                </c:pt>
                <c:pt idx="128">
                  <c:v>-2.7127077992751336</c:v>
                </c:pt>
                <c:pt idx="129">
                  <c:v>-2.6162434084604125</c:v>
                </c:pt>
                <c:pt idx="130">
                  <c:v>-2.5157565641860358</c:v>
                </c:pt>
                <c:pt idx="131">
                  <c:v>-2.4114479905851889</c:v>
                </c:pt>
                <c:pt idx="132">
                  <c:v>-2.3035239298728238</c:v>
                </c:pt>
                <c:pt idx="133">
                  <c:v>-2.1921957467505546</c:v>
                </c:pt>
                <c:pt idx="134">
                  <c:v>-2.077679526172429</c:v>
                </c:pt>
                <c:pt idx="135">
                  <c:v>-1.9601956652183778</c:v>
                </c:pt>
                <c:pt idx="136">
                  <c:v>-1.8399684598281425</c:v>
                </c:pt>
                <c:pt idx="137">
                  <c:v>-1.7172256871529514</c:v>
                </c:pt>
                <c:pt idx="138">
                  <c:v>-1.5921981842854003</c:v>
                </c:pt>
                <c:pt idx="139">
                  <c:v>-1.4651194241298382</c:v>
                </c:pt>
                <c:pt idx="140">
                  <c:v>-1.3362250891760179</c:v>
                </c:pt>
                <c:pt idx="141">
                  <c:v>-1.2057526439378554</c:v>
                </c:pt>
                <c:pt idx="142">
                  <c:v>-1.0739409068169679</c:v>
                </c:pt>
                <c:pt idx="143">
                  <c:v>-0.94102962214713126</c:v>
                </c:pt>
                <c:pt idx="144">
                  <c:v>-0.80725903317095982</c:v>
                </c:pt>
                <c:pt idx="145">
                  <c:v>-0.67286945669392595</c:v>
                </c:pt>
                <c:pt idx="146">
                  <c:v>-0.53810086015348013</c:v>
                </c:pt>
                <c:pt idx="147">
                  <c:v>-0.40319244183237801</c:v>
                </c:pt>
                <c:pt idx="148">
                  <c:v>-0.26838221493541836</c:v>
                </c:pt>
                <c:pt idx="149">
                  <c:v>-0.13390659623765677</c:v>
                </c:pt>
                <c:pt idx="150">
                  <c:v>1.3376999956827804E-14</c:v>
                </c:pt>
                <c:pt idx="151">
                  <c:v>0.1331055621655774</c:v>
                </c:pt>
                <c:pt idx="152">
                  <c:v>0.26518087481294411</c:v>
                </c:pt>
                <c:pt idx="153">
                  <c:v>0.39599990490918147</c:v>
                </c:pt>
                <c:pt idx="154">
                  <c:v>0.5253401801763079</c:v>
                </c:pt>
                <c:pt idx="155">
                  <c:v>0.65298315890986025</c:v>
                </c:pt>
                <c:pt idx="156">
                  <c:v>0.77871459067496496</c:v>
                </c:pt>
                <c:pt idx="157">
                  <c:v>0.90232486730045569</c:v>
                </c:pt>
                <c:pt idx="158">
                  <c:v>1.0236093636119306</c:v>
                </c:pt>
                <c:pt idx="159">
                  <c:v>1.142368767366182</c:v>
                </c:pt>
                <c:pt idx="160">
                  <c:v>1.2584093978714497</c:v>
                </c:pt>
                <c:pt idx="161">
                  <c:v>1.3715435128011253</c:v>
                </c:pt>
                <c:pt idx="162">
                  <c:v>1.4815896027320912</c:v>
                </c:pt>
                <c:pt idx="163">
                  <c:v>1.588372672963289</c:v>
                </c:pt>
                <c:pt idx="164">
                  <c:v>1.6917245121952242</c:v>
                </c:pt>
                <c:pt idx="165">
                  <c:v>1.791483947676574</c:v>
                </c:pt>
                <c:pt idx="166">
                  <c:v>1.8874970864503515</c:v>
                </c:pt>
                <c:pt idx="167">
                  <c:v>1.9796175423585929</c:v>
                </c:pt>
                <c:pt idx="168">
                  <c:v>2.0677066484917526</c:v>
                </c:pt>
                <c:pt idx="169">
                  <c:v>2.1516336547962993</c:v>
                </c:pt>
                <c:pt idx="170">
                  <c:v>2.2312759105819508</c:v>
                </c:pt>
                <c:pt idx="171">
                  <c:v>2.3065190316979658</c:v>
                </c:pt>
                <c:pt idx="172">
                  <c:v>2.3772570521763638</c:v>
                </c:pt>
                <c:pt idx="173">
                  <c:v>2.4433925601683328</c:v>
                </c:pt>
                <c:pt idx="174">
                  <c:v>2.5048368180288367</c:v>
                </c:pt>
                <c:pt idx="175">
                  <c:v>2.5615098664331164</c:v>
                </c:pt>
                <c:pt idx="176">
                  <c:v>2.6133406124375647</c:v>
                </c:pt>
                <c:pt idx="177">
                  <c:v>2.6602669014262239</c:v>
                </c:pt>
                <c:pt idx="178">
                  <c:v>2.7022355729127887</c:v>
                </c:pt>
                <c:pt idx="179">
                  <c:v>2.7392025001965954</c:v>
                </c:pt>
                <c:pt idx="180">
                  <c:v>2.7711326138994821</c:v>
                </c:pt>
                <c:pt idx="181">
                  <c:v>2.7979999094385533</c:v>
                </c:pt>
                <c:pt idx="182">
                  <c:v>2.819787438517805</c:v>
                </c:pt>
                <c:pt idx="183">
                  <c:v>2.8364872847491713</c:v>
                </c:pt>
                <c:pt idx="184">
                  <c:v>2.8481005235407948</c:v>
                </c:pt>
                <c:pt idx="185">
                  <c:v>2.8546371664171506</c:v>
                </c:pt>
                <c:pt idx="186">
                  <c:v>2.8561160899620375</c:v>
                </c:pt>
                <c:pt idx="187">
                  <c:v>2.8525649496013505</c:v>
                </c:pt>
                <c:pt idx="188">
                  <c:v>2.8440200784678984</c:v>
                </c:pt>
                <c:pt idx="189">
                  <c:v>2.8305263716153033</c:v>
                </c:pt>
                <c:pt idx="190">
                  <c:v>2.8121371558721866</c:v>
                </c:pt>
                <c:pt idx="191">
                  <c:v>2.7889140456513486</c:v>
                </c:pt>
                <c:pt idx="192">
                  <c:v>2.7609267850514421</c:v>
                </c:pt>
                <c:pt idx="193">
                  <c:v>2.7282530766107551</c:v>
                </c:pt>
                <c:pt idx="194">
                  <c:v>2.6909783970939904</c:v>
                </c:pt>
                <c:pt idx="195">
                  <c:v>2.6491958007134713</c:v>
                </c:pt>
                <c:pt idx="196">
                  <c:v>2.6030057102059092</c:v>
                </c:pt>
                <c:pt idx="197">
                  <c:v>2.5525156962046567</c:v>
                </c:pt>
                <c:pt idx="198">
                  <c:v>2.497840245365353</c:v>
                </c:pt>
                <c:pt idx="199">
                  <c:v>2.439100517719873</c:v>
                </c:pt>
                <c:pt idx="200">
                  <c:v>2.3764240937496286</c:v>
                </c:pt>
                <c:pt idx="201">
                  <c:v>2.3099447116843672</c:v>
                </c:pt>
                <c:pt idx="202">
                  <c:v>2.2398019955467454</c:v>
                </c:pt>
                <c:pt idx="203">
                  <c:v>2.1661411744762544</c:v>
                </c:pt>
                <c:pt idx="204">
                  <c:v>2.0891127938779577</c:v>
                </c:pt>
                <c:pt idx="205">
                  <c:v>2.0088724189529201</c:v>
                </c:pt>
                <c:pt idx="206">
                  <c:v>1.9255803311769923</c:v>
                </c:pt>
                <c:pt idx="207">
                  <c:v>1.8394012183037989</c:v>
                </c:pt>
                <c:pt idx="208">
                  <c:v>1.7505038584756549</c:v>
                </c:pt>
                <c:pt idx="209">
                  <c:v>1.6590607990329966</c:v>
                </c:pt>
                <c:pt idx="210">
                  <c:v>1.5652480306187171</c:v>
                </c:pt>
                <c:pt idx="211">
                  <c:v>1.4692446571785038</c:v>
                </c:pt>
                <c:pt idx="212">
                  <c:v>1.3712325624618709</c:v>
                </c:pt>
                <c:pt idx="213">
                  <c:v>1.2713960736311474</c:v>
                </c:pt>
                <c:pt idx="214">
                  <c:v>1.169921622587101</c:v>
                </c:pt>
                <c:pt idx="215">
                  <c:v>1.066997405620276</c:v>
                </c:pt>
                <c:pt idx="216">
                  <c:v>0.96281304199641138</c:v>
                </c:pt>
                <c:pt idx="217">
                  <c:v>0.85755923208253548</c:v>
                </c:pt>
                <c:pt idx="218">
                  <c:v>0.75142741561752902</c:v>
                </c:pt>
                <c:pt idx="219">
                  <c:v>0.64460943072706678</c:v>
                </c:pt>
                <c:pt idx="220">
                  <c:v>0.53729717427795376</c:v>
                </c:pt>
                <c:pt idx="221">
                  <c:v>0.42968226416096894</c:v>
                </c:pt>
                <c:pt idx="222">
                  <c:v>0.32195570408439661</c:v>
                </c:pt>
                <c:pt idx="223">
                  <c:v>0.2143075514525449</c:v>
                </c:pt>
                <c:pt idx="224">
                  <c:v>0.10692658889468942</c:v>
                </c:pt>
                <c:pt idx="225">
                  <c:v>4.1635645356205934E-14</c:v>
                </c:pt>
                <c:pt idx="226">
                  <c:v>-0.10628695019623936</c:v>
                </c:pt>
                <c:pt idx="227">
                  <c:v>-0.21175122944287991</c:v>
                </c:pt>
                <c:pt idx="228">
                  <c:v>-0.31621234669708825</c:v>
                </c:pt>
                <c:pt idx="229">
                  <c:v>-0.41949265423669624</c:v>
                </c:pt>
                <c:pt idx="230">
                  <c:v>-0.5214176429661902</c:v>
                </c:pt>
                <c:pt idx="231">
                  <c:v>-0.62181623043846779</c:v>
                </c:pt>
                <c:pt idx="232">
                  <c:v>-0.72052104112924775</c:v>
                </c:pt>
                <c:pt idx="233">
                  <c:v>-0.81736867851802375</c:v>
                </c:pt>
                <c:pt idx="234">
                  <c:v>-0.91219998854598616</c:v>
                </c:pt>
                <c:pt idx="235">
                  <c:v>-1.0048603140395063</c:v>
                </c:pt>
                <c:pt idx="236">
                  <c:v>-1.0951997397058413</c:v>
                </c:pt>
                <c:pt idx="237">
                  <c:v>-1.1830733273267688</c:v>
                </c:pt>
                <c:pt idx="238">
                  <c:v>-1.2683413407953021</c:v>
                </c:pt>
                <c:pt idx="239">
                  <c:v>-1.3508694606606149</c:v>
                </c:pt>
                <c:pt idx="240">
                  <c:v>-1.4305289878667546</c:v>
                </c:pt>
                <c:pt idx="241">
                  <c:v>-1.5071970363916101</c:v>
                </c:pt>
                <c:pt idx="242">
                  <c:v>-1.5807567145138504</c:v>
                </c:pt>
                <c:pt idx="243">
                  <c:v>-1.6510972944571958</c:v>
                </c:pt>
                <c:pt idx="244">
                  <c:v>-1.7181143701833002</c:v>
                </c:pt>
                <c:pt idx="245">
                  <c:v>-1.7817100031267261</c:v>
                </c:pt>
                <c:pt idx="246">
                  <c:v>-1.8417928556879426</c:v>
                </c:pt>
                <c:pt idx="247">
                  <c:v>-1.8982783123228786</c:v>
                </c:pt>
                <c:pt idx="248">
                  <c:v>-1.9510885880903599</c:v>
                </c:pt>
                <c:pt idx="249">
                  <c:v>-2.0001528245416087</c:v>
                </c:pt>
                <c:pt idx="250">
                  <c:v>-2.0454071728589627</c:v>
                </c:pt>
                <c:pt idx="251">
                  <c:v>-2.086794864173914</c:v>
                </c:pt>
                <c:pt idx="252">
                  <c:v>-2.1242662670175547</c:v>
                </c:pt>
                <c:pt idx="253">
                  <c:v>-2.1577789318793625</c:v>
                </c:pt>
                <c:pt idx="254">
                  <c:v>-2.1872976228731855</c:v>
                </c:pt>
                <c:pt idx="255">
                  <c:v>-2.2127943365317746</c:v>
                </c:pt>
                <c:pt idx="256">
                  <c:v>-2.2342483077739304</c:v>
                </c:pt>
                <c:pt idx="257">
                  <c:v>-2.2516460031104089</c:v>
                </c:pt>
                <c:pt idx="258">
                  <c:v>-2.2649811011769461</c:v>
                </c:pt>
                <c:pt idx="259">
                  <c:v>-2.2742544607043884</c:v>
                </c:pt>
                <c:pt idx="260">
                  <c:v>-2.2794740760574017</c:v>
                </c:pt>
                <c:pt idx="261">
                  <c:v>-2.2806550204943039</c:v>
                </c:pt>
                <c:pt idx="262">
                  <c:v>-2.2778193773212099</c:v>
                </c:pt>
                <c:pt idx="263">
                  <c:v>-2.2709961591339454</c:v>
                </c:pt>
                <c:pt idx="264">
                  <c:v>-2.2602212153609686</c:v>
                </c:pt>
                <c:pt idx="265">
                  <c:v>-2.2455371283398304</c:v>
                </c:pt>
                <c:pt idx="266">
                  <c:v>-2.2269930981784603</c:v>
                </c:pt>
                <c:pt idx="267">
                  <c:v>-2.2046448166707959</c:v>
                </c:pt>
                <c:pt idx="268">
                  <c:v>-2.1785543305538977</c:v>
                </c:pt>
                <c:pt idx="269">
                  <c:v>-2.1487898944107093</c:v>
                </c:pt>
                <c:pt idx="270">
                  <c:v>-2.1154258135389936</c:v>
                </c:pt>
                <c:pt idx="271">
                  <c:v>-2.078542277122748</c:v>
                </c:pt>
                <c:pt idx="272">
                  <c:v>-2.0382251820573685</c:v>
                </c:pt>
                <c:pt idx="273">
                  <c:v>-1.9945659477942073</c:v>
                </c:pt>
                <c:pt idx="274">
                  <c:v>-1.9476613225837887</c:v>
                </c:pt>
                <c:pt idx="275">
                  <c:v>-1.8976131815097164</c:v>
                </c:pt>
                <c:pt idx="276">
                  <c:v>-1.8445283167175084</c:v>
                </c:pt>
                <c:pt idx="277">
                  <c:v>-1.788518220253787</c:v>
                </c:pt>
                <c:pt idx="278">
                  <c:v>-1.7296988599418692</c:v>
                </c:pt>
                <c:pt idx="279">
                  <c:v>-1.6681904487293659</c:v>
                </c:pt>
                <c:pt idx="280">
                  <c:v>-1.6041172079523947</c:v>
                </c:pt>
                <c:pt idx="281">
                  <c:v>-1.5376071249689873</c:v>
                </c:pt>
                <c:pt idx="282">
                  <c:v>-1.4687917056214512</c:v>
                </c:pt>
                <c:pt idx="283">
                  <c:v>-1.397805721993796</c:v>
                </c:pt>
                <c:pt idx="284">
                  <c:v>-1.3247869559358587</c:v>
                </c:pt>
                <c:pt idx="285">
                  <c:v>-1.2498759388303391</c:v>
                </c:pt>
                <c:pt idx="286">
                  <c:v>-1.1732156880827178</c:v>
                </c:pt>
                <c:pt idx="287">
                  <c:v>-1.0949514408169121</c:v>
                </c:pt>
                <c:pt idx="288">
                  <c:v>-1.015230385261592</c:v>
                </c:pt>
                <c:pt idx="289">
                  <c:v>-0.93420139031321525</c:v>
                </c:pt>
                <c:pt idx="290">
                  <c:v>-0.85201473376210157</c:v>
                </c:pt>
                <c:pt idx="291">
                  <c:v>-0.76882182966732271</c:v>
                </c:pt>
                <c:pt idx="292">
                  <c:v>-0.68477495536487754</c:v>
                </c:pt>
                <c:pt idx="293">
                  <c:v>-0.60002697859117404</c:v>
                </c:pt>
                <c:pt idx="294">
                  <c:v>-0.51473108520094979</c:v>
                </c:pt>
                <c:pt idx="295">
                  <c:v>-0.42904050795466814</c:v>
                </c:pt>
                <c:pt idx="296">
                  <c:v>-0.34310825684592361</c:v>
                </c:pt>
                <c:pt idx="297">
                  <c:v>-0.25708685143362775</c:v>
                </c:pt>
                <c:pt idx="298">
                  <c:v>-0.17112805563760541</c:v>
                </c:pt>
                <c:pt idx="299">
                  <c:v>-8.5382615449160343E-2</c:v>
                </c:pt>
                <c:pt idx="300">
                  <c:v>-1.7071622338750767E-13</c:v>
                </c:pt>
                <c:pt idx="301">
                  <c:v>8.4871853574030751E-2</c:v>
                </c:pt>
                <c:pt idx="302">
                  <c:v>0.16908679105224236</c:v>
                </c:pt>
                <c:pt idx="303">
                  <c:v>0.25250068740945769</c:v>
                </c:pt>
                <c:pt idx="304">
                  <c:v>0.33497168805828909</c:v>
                </c:pt>
                <c:pt idx="305">
                  <c:v>0.4163604446556588</c:v>
                </c:pt>
                <c:pt idx="306">
                  <c:v>0.49653034509280625</c:v>
                </c:pt>
                <c:pt idx="307">
                  <c:v>0.57534773729897382</c:v>
                </c:pt>
                <c:pt idx="308">
                  <c:v>0.6526821465024375</c:v>
                </c:pt>
                <c:pt idx="309">
                  <c:v>0.72840648560596699</c:v>
                </c:pt>
                <c:pt idx="310">
                  <c:v>0.80239725834807207</c:v>
                </c:pt>
                <c:pt idx="311">
                  <c:v>0.87453475493605048</c:v>
                </c:pt>
                <c:pt idx="312">
                  <c:v>0.94470323985193461</c:v>
                </c:pt>
                <c:pt idx="313">
                  <c:v>1.012791131547955</c:v>
                </c:pt>
                <c:pt idx="314">
                  <c:v>1.0786911737641314</c:v>
                </c:pt>
                <c:pt idx="315">
                  <c:v>1.1423005982169419</c:v>
                </c:pt>
                <c:pt idx="316">
                  <c:v>1.2035212784246707</c:v>
                </c:pt>
                <c:pt idx="317">
                  <c:v>1.2622598744520031</c:v>
                </c:pt>
                <c:pt idx="318">
                  <c:v>1.3184279683737115</c:v>
                </c:pt>
                <c:pt idx="319">
                  <c:v>1.371942190274833</c:v>
                </c:pt>
                <c:pt idx="320">
                  <c:v>1.4227243346224314</c:v>
                </c:pt>
                <c:pt idx="321">
                  <c:v>1.4707014668618954</c:v>
                </c:pt>
                <c:pt idx="322">
                  <c:v>1.5158060201089285</c:v>
                </c:pt>
                <c:pt idx="323">
                  <c:v>1.5579758818264202</c:v>
                </c:pt>
                <c:pt idx="324">
                  <c:v>1.5971544703937921</c:v>
                </c:pt>
                <c:pt idx="325">
                  <c:v>1.6332908014945908</c:v>
                </c:pt>
                <c:pt idx="326">
                  <c:v>1.6663395442665907</c:v>
                </c:pt>
                <c:pt idx="327">
                  <c:v>1.6962610671769092</c:v>
                </c:pt>
                <c:pt idx="328">
                  <c:v>1.7230214736029168</c:v>
                </c:pt>
                <c:pt idx="329">
                  <c:v>1.7465926271180348</c:v>
                </c:pt>
                <c:pt idx="330">
                  <c:v>1.7669521664994867</c:v>
                </c:pt>
                <c:pt idx="331">
                  <c:v>1.7840835104931505</c:v>
                </c:pt>
                <c:pt idx="332">
                  <c:v>1.7979758523883684</c:v>
                </c:pt>
                <c:pt idx="333">
                  <c:v>1.8086241444732509</c:v>
                </c:pt>
                <c:pt idx="334">
                  <c:v>1.816029072458305</c:v>
                </c:pt>
                <c:pt idx="335">
                  <c:v>1.8201970199733768</c:v>
                </c:pt>
                <c:pt idx="336">
                  <c:v>1.8211400232597026</c:v>
                </c:pt>
                <c:pt idx="337">
                  <c:v>1.8188757161953775</c:v>
                </c:pt>
                <c:pt idx="338">
                  <c:v>1.8134272658087174</c:v>
                </c:pt>
                <c:pt idx="339">
                  <c:v>1.8048232984497805</c:v>
                </c:pt>
                <c:pt idx="340">
                  <c:v>1.7930978168057328</c:v>
                </c:pt>
                <c:pt idx="341">
                  <c:v>1.7782901079607205</c:v>
                </c:pt>
                <c:pt idx="342">
                  <c:v>1.760444642715455</c:v>
                </c:pt>
                <c:pt idx="343">
                  <c:v>1.7396109663958004</c:v>
                </c:pt>
                <c:pt idx="344">
                  <c:v>1.7158435813932411</c:v>
                </c:pt>
                <c:pt idx="345">
                  <c:v>1.6892018216931814</c:v>
                </c:pt>
                <c:pt idx="346">
                  <c:v>1.659749719659612</c:v>
                </c:pt>
                <c:pt idx="347">
                  <c:v>1.6275558653566446</c:v>
                </c:pt>
                <c:pt idx="348">
                  <c:v>1.592693258698902</c:v>
                </c:pt>
                <c:pt idx="349">
                  <c:v>1.5552391547335567</c:v>
                </c:pt>
                <c:pt idx="350">
                  <c:v>1.5152749023671566</c:v>
                </c:pt>
                <c:pt idx="351">
                  <c:v>1.4728857768599306</c:v>
                </c:pt>
                <c:pt idx="352">
                  <c:v>1.4281608064193785</c:v>
                </c:pt>
                <c:pt idx="353">
                  <c:v>1.3811925932332643</c:v>
                </c:pt>
                <c:pt idx="354">
                  <c:v>1.3320771292899607</c:v>
                </c:pt>
                <c:pt idx="355">
                  <c:v>1.2809136073410796</c:v>
                </c:pt>
                <c:pt idx="356">
                  <c:v>1.2278042273678</c:v>
                </c:pt>
                <c:pt idx="357">
                  <c:v>1.1728539989180671</c:v>
                </c:pt>
                <c:pt idx="358">
                  <c:v>1.1161705396867976</c:v>
                </c:pt>
                <c:pt idx="359">
                  <c:v>1.0578638707157426</c:v>
                </c:pt>
                <c:pt idx="360">
                  <c:v>0.99804620859322657</c:v>
                </c:pt>
                <c:pt idx="361">
                  <c:v>0.93683175503709271</c:v>
                </c:pt>
                <c:pt idx="362">
                  <c:v>0.87433648424635435</c:v>
                </c:pt>
                <c:pt idx="363">
                  <c:v>0.8106779284088157</c:v>
                </c:pt>
                <c:pt idx="364">
                  <c:v>0.74597496175276667</c:v>
                </c:pt>
                <c:pt idx="365">
                  <c:v>0.68034758353109481</c:v>
                </c:pt>
                <c:pt idx="366">
                  <c:v>0.61391670032572443</c:v>
                </c:pt>
                <c:pt idx="367">
                  <c:v>0.54680390805919199</c:v>
                </c:pt>
                <c:pt idx="368">
                  <c:v>0.47913127409834749</c:v>
                </c:pt>
                <c:pt idx="369">
                  <c:v>0.41102111983268058</c:v>
                </c:pt>
                <c:pt idx="370">
                  <c:v>0.34259580410667473</c:v>
                </c:pt>
                <c:pt idx="371">
                  <c:v>0.27397750788183889</c:v>
                </c:pt>
                <c:pt idx="372">
                  <c:v>0.20528802049963921</c:v>
                </c:pt>
                <c:pt idx="373">
                  <c:v>0.13664852791149568</c:v>
                </c:pt>
                <c:pt idx="374">
                  <c:v>6.817940323635982E-2</c:v>
                </c:pt>
                <c:pt idx="375">
                  <c:v>2.4609128677049127E-13</c:v>
                </c:pt>
                <c:pt idx="376">
                  <c:v>-6.7771551594931284E-2</c:v>
                </c:pt>
                <c:pt idx="377">
                  <c:v>-0.13501854503308539</c:v>
                </c:pt>
                <c:pt idx="378">
                  <c:v>-0.20162589414423662</c:v>
                </c:pt>
                <c:pt idx="379">
                  <c:v>-0.26748032573964492</c:v>
                </c:pt>
                <c:pt idx="380">
                  <c:v>-0.33247056790730534</c:v>
                </c:pt>
                <c:pt idx="381">
                  <c:v>-0.39648753366269385</c:v>
                </c:pt>
                <c:pt idx="382">
                  <c:v>-0.45942449965963916</c:v>
                </c:pt>
                <c:pt idx="383">
                  <c:v>-0.52117727967678673</c:v>
                </c:pt>
                <c:pt idx="384">
                  <c:v>-0.58164439260578937</c:v>
                </c:pt>
                <c:pt idx="385">
                  <c:v>-0.64072722467889665</c:v>
                </c:pt>
                <c:pt idx="386">
                  <c:v>-0.69833018568510175</c:v>
                </c:pt>
                <c:pt idx="387">
                  <c:v>-0.75436085893621529</c:v>
                </c:pt>
                <c:pt idx="388">
                  <c:v>-0.80873014475661975</c:v>
                </c:pt>
                <c:pt idx="389">
                  <c:v>-0.8613523972831626</c:v>
                </c:pt>
                <c:pt idx="390">
                  <c:v>-0.91214555437468636</c:v>
                </c:pt>
                <c:pt idx="391">
                  <c:v>-0.9610312604440423</c:v>
                </c:pt>
                <c:pt idx="392">
                  <c:v>-1.0079349820390273</c:v>
                </c:pt>
                <c:pt idx="393">
                  <c:v>-1.0527861160123109</c:v>
                </c:pt>
                <c:pt idx="394">
                  <c:v>-1.0955180901346522</c:v>
                </c:pt>
                <c:pt idx="395">
                  <c:v>-1.1360684560195908</c:v>
                </c:pt>
                <c:pt idx="396">
                  <c:v>-1.1743789742423718</c:v>
                </c:pt>
                <c:pt idx="397">
                  <c:v>-1.2103956915500236</c:v>
                </c:pt>
                <c:pt idx="398">
                  <c:v>-1.2440690100742879</c:v>
                </c:pt>
                <c:pt idx="399">
                  <c:v>-1.2753537484734379</c:v>
                </c:pt>
                <c:pt idx="400">
                  <c:v>-1.3042091949438894</c:v>
                </c:pt>
                <c:pt idx="401">
                  <c:v>-1.330599152056942</c:v>
                </c:pt>
                <c:pt idx="402">
                  <c:v>-1.3544919733908154</c:v>
                </c:pt>
                <c:pt idx="403">
                  <c:v>-1.3758605919425804</c:v>
                </c:pt>
                <c:pt idx="404">
                  <c:v>-1.394682540319272</c:v>
                </c:pt>
                <c:pt idx="405">
                  <c:v>-1.4109399627218357</c:v>
                </c:pt>
                <c:pt idx="406">
                  <c:v>-1.4246196187499265</c:v>
                </c:pt>
                <c:pt idx="407">
                  <c:v>-1.435712879069813</c:v>
                </c:pt>
                <c:pt idx="408">
                  <c:v>-1.4442157130016824</c:v>
                </c:pt>
                <c:pt idx="409">
                  <c:v>-1.4501286680964971</c:v>
                </c:pt>
                <c:pt idx="410">
                  <c:v>-1.4534568417862239</c:v>
                </c:pt>
                <c:pt idx="411">
                  <c:v>-1.4542098452047023</c:v>
                </c:pt>
                <c:pt idx="412">
                  <c:v>-1.4524017592895915</c:v>
                </c:pt>
                <c:pt idx="413">
                  <c:v>-1.4480510832887421</c:v>
                </c:pt>
                <c:pt idx="414">
                  <c:v>-1.4411806758069581</c:v>
                </c:pt>
                <c:pt idx="415">
                  <c:v>-1.431817688541424</c:v>
                </c:pt>
                <c:pt idx="416">
                  <c:v>-1.4199934928660189</c:v>
                </c:pt>
                <c:pt idx="417">
                  <c:v>-1.4057435994363721</c:v>
                </c:pt>
                <c:pt idx="418">
                  <c:v>-1.3891075709987484</c:v>
                </c:pt>
                <c:pt idx="419">
                  <c:v>-1.3701289285967098</c:v>
                </c:pt>
                <c:pt idx="420">
                  <c:v>-1.3488550513799251</c:v>
                </c:pt>
                <c:pt idx="421">
                  <c:v>-1.3253370702295679</c:v>
                </c:pt>
                <c:pt idx="422">
                  <c:v>-1.2996297554242757</c:v>
                </c:pt>
                <c:pt idx="423">
                  <c:v>-1.2717913985798428</c:v>
                </c:pt>
                <c:pt idx="424">
                  <c:v>-1.2418836891044165</c:v>
                </c:pt>
                <c:pt idx="425">
                  <c:v>-1.2099715854192574</c:v>
                </c:pt>
                <c:pt idx="426">
                  <c:v>-1.1761231812027138</c:v>
                </c:pt>
                <c:pt idx="427">
                  <c:v>-1.1404095669224024</c:v>
                </c:pt>
                <c:pt idx="428">
                  <c:v>-1.1029046869271435</c:v>
                </c:pt>
                <c:pt idx="429">
                  <c:v>-1.063685192376528</c:v>
                </c:pt>
                <c:pt idx="430">
                  <c:v>-1.0228302902914976</c:v>
                </c:pt>
                <c:pt idx="431">
                  <c:v>-0.98042158901458187</c:v>
                </c:pt>
                <c:pt idx="432">
                  <c:v>-0.93654294037293784</c:v>
                </c:pt>
                <c:pt idx="433">
                  <c:v>-0.89128027884138705</c:v>
                </c:pt>
                <c:pt idx="434">
                  <c:v>-0.84472145800616738</c:v>
                </c:pt>
                <c:pt idx="435">
                  <c:v>-0.79695608463307166</c:v>
                </c:pt>
                <c:pt idx="436">
                  <c:v>-0.74807535064600561</c:v>
                </c:pt>
                <c:pt idx="437">
                  <c:v>-0.69817186332384362</c:v>
                </c:pt>
                <c:pt idx="438">
                  <c:v>-0.6473394740247731</c:v>
                </c:pt>
                <c:pt idx="439">
                  <c:v>-0.59567310574807197</c:v>
                </c:pt>
                <c:pt idx="440">
                  <c:v>-0.54326857984340982</c:v>
                </c:pt>
                <c:pt idx="441">
                  <c:v>-0.49022244217741262</c:v>
                </c:pt>
                <c:pt idx="442">
                  <c:v>-0.43663178906636063</c:v>
                </c:pt>
                <c:pt idx="443">
                  <c:v>-0.38259409328246041</c:v>
                </c:pt>
                <c:pt idx="444">
                  <c:v>-0.32820703043912031</c:v>
                </c:pt>
                <c:pt idx="445">
                  <c:v>-0.27356830605817389</c:v>
                </c:pt>
                <c:pt idx="446">
                  <c:v>-0.21877548361900956</c:v>
                </c:pt>
                <c:pt idx="447">
                  <c:v>-0.16392581388605562</c:v>
                </c:pt>
                <c:pt idx="448">
                  <c:v>-0.10911606580700881</c:v>
                </c:pt>
                <c:pt idx="449">
                  <c:v>-5.4442359269652359E-2</c:v>
                </c:pt>
                <c:pt idx="450">
                  <c:v>-2.8185978154254769E-13</c:v>
                </c:pt>
                <c:pt idx="451">
                  <c:v>5.4116683118955788E-2</c:v>
                </c:pt>
                <c:pt idx="452">
                  <c:v>0.10781449804212796</c:v>
                </c:pt>
                <c:pt idx="453">
                  <c:v>0.16100154659595339</c:v>
                </c:pt>
                <c:pt idx="454">
                  <c:v>0.21358737830206556</c:v>
                </c:pt>
                <c:pt idx="455">
                  <c:v>0.26548314073404755</c:v>
                </c:pt>
                <c:pt idx="456">
                  <c:v>0.31660172616548576</c:v>
                </c:pt>
                <c:pt idx="457">
                  <c:v>0.36685791427355763</c:v>
                </c:pt>
                <c:pt idx="458">
                  <c:v>0.41616851067072735</c:v>
                </c:pt>
                <c:pt idx="459">
                  <c:v>0.46445248104609232</c:v>
                </c:pt>
                <c:pt idx="460">
                  <c:v>0.51163108070671104</c:v>
                </c:pt>
                <c:pt idx="461">
                  <c:v>0.55762797931873165</c:v>
                </c:pt>
                <c:pt idx="462">
                  <c:v>0.60236938065775136</c:v>
                </c:pt>
                <c:pt idx="463">
                  <c:v>0.64578413718771066</c:v>
                </c:pt>
                <c:pt idx="464">
                  <c:v>0.68780385929781251</c:v>
                </c:pt>
                <c:pt idx="465">
                  <c:v>0.72836301903738931</c:v>
                </c:pt>
                <c:pt idx="466">
                  <c:v>0.76739904819927618</c:v>
                </c:pt>
                <c:pt idx="467">
                  <c:v>0.80485243061304534</c:v>
                </c:pt>
                <c:pt idx="468">
                  <c:v>0.84066678852046806</c:v>
                </c:pt>
                <c:pt idx="469">
                  <c:v>0.87478896291676578</c:v>
                </c:pt>
                <c:pt idx="470">
                  <c:v>0.90716908775251925</c:v>
                </c:pt>
                <c:pt idx="471">
                  <c:v>0.93776065790248642</c:v>
                </c:pt>
                <c:pt idx="472">
                  <c:v>0.96652059081912389</c:v>
                </c:pt>
                <c:pt idx="473">
                  <c:v>0.99340928180020249</c:v>
                </c:pt>
                <c:pt idx="474">
                  <c:v>1.0183906528115705</c:v>
                </c:pt>
                <c:pt idx="475">
                  <c:v>1.0414321948177701</c:v>
                </c:pt>
                <c:pt idx="476">
                  <c:v>1.0625050035849122</c:v>
                </c:pt>
                <c:pt idx="477">
                  <c:v>1.0815838089319314</c:v>
                </c:pt>
                <c:pt idx="478">
                  <c:v>1.0986469974180015</c:v>
                </c:pt>
                <c:pt idx="479">
                  <c:v>1.1136766284654447</c:v>
                </c:pt>
                <c:pt idx="480">
                  <c:v>1.1266584439291185</c:v>
                </c:pt>
                <c:pt idx="481">
                  <c:v>1.1375818711346006</c:v>
                </c:pt>
                <c:pt idx="482">
                  <c:v>1.1464400194189532</c:v>
                </c:pt>
                <c:pt idx="483">
                  <c:v>1.1532296702189717</c:v>
                </c:pt>
                <c:pt idx="484">
                  <c:v>1.1579512607629803</c:v>
                </c:pt>
                <c:pt idx="485">
                  <c:v>1.160608861433079</c:v>
                </c:pt>
                <c:pt idx="486">
                  <c:v>1.1612101468755185</c:v>
                </c:pt>
                <c:pt idx="487">
                  <c:v>1.1597663609473954</c:v>
                </c:pt>
                <c:pt idx="488">
                  <c:v>1.1562922755981531</c:v>
                </c:pt>
                <c:pt idx="489">
                  <c:v>1.1508061437944661</c:v>
                </c:pt>
                <c:pt idx="490">
                  <c:v>1.1433296466069029</c:v>
                </c:pt>
                <c:pt idx="491">
                  <c:v>1.1338878345863106</c:v>
                </c:pt>
                <c:pt idx="492">
                  <c:v>1.1225090635671482</c:v>
                </c:pt>
                <c:pt idx="493">
                  <c:v>1.1092249250439663</c:v>
                </c:pt>
                <c:pt idx="494">
                  <c:v>1.0940701712759062</c:v>
                </c:pt>
                <c:pt idx="495">
                  <c:v>1.0770826352824119</c:v>
                </c:pt>
                <c:pt idx="496">
                  <c:v>1.0583031459013774</c:v>
                </c:pt>
                <c:pt idx="497">
                  <c:v>1.0377754380886013</c:v>
                </c:pt>
                <c:pt idx="498">
                  <c:v>1.0155460586447114</c:v>
                </c:pt>
                <c:pt idx="499">
                  <c:v>0.99166426756264414</c:v>
                </c:pt>
                <c:pt idx="500">
                  <c:v>0.96618193519531648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C-4382-AFA8-88C6330A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9978368"/>
        <c:axId val="129960128"/>
      </c:barChart>
      <c:scatterChart>
        <c:scatterStyle val="lineMarker"/>
        <c:varyColors val="0"/>
        <c:ser>
          <c:idx val="1"/>
          <c:order val="1"/>
          <c:tx>
            <c:v>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Sheet2!$U$2:$U$102</c:f>
              <c:numCache>
                <c:formatCode>General</c:formatCode>
                <c:ptCount val="101"/>
                <c:pt idx="0">
                  <c:v>0</c:v>
                </c:pt>
                <c:pt idx="1">
                  <c:v>0.20875107510077309</c:v>
                </c:pt>
                <c:pt idx="2">
                  <c:v>0.41588639732806204</c:v>
                </c:pt>
                <c:pt idx="3">
                  <c:v>0.62105147632199176</c:v>
                </c:pt>
                <c:pt idx="4">
                  <c:v>0.82389740609808326</c:v>
                </c:pt>
                <c:pt idx="5">
                  <c:v>1.0240814450381757</c:v>
                </c:pt>
                <c:pt idx="6">
                  <c:v>1.2212675815745155</c:v>
                </c:pt>
                <c:pt idx="7">
                  <c:v>1.4151270846580788</c:v>
                </c:pt>
                <c:pt idx="8">
                  <c:v>1.6053390381344068</c:v>
                </c:pt>
                <c:pt idx="9">
                  <c:v>1.7915908581837463</c:v>
                </c:pt>
                <c:pt idx="10">
                  <c:v>1.9735787930171198</c:v>
                </c:pt>
                <c:pt idx="11">
                  <c:v>2.1510084040559789</c:v>
                </c:pt>
                <c:pt idx="12">
                  <c:v>2.3235950278602573</c:v>
                </c:pt>
                <c:pt idx="13">
                  <c:v>2.4910642181078968</c:v>
                </c:pt>
                <c:pt idx="14">
                  <c:v>2.6531521669681624</c:v>
                </c:pt>
                <c:pt idx="15">
                  <c:v>2.8096061052511883</c:v>
                </c:pt>
                <c:pt idx="16">
                  <c:v>2.9601846807572589</c:v>
                </c:pt>
                <c:pt idx="17">
                  <c:v>3.1046583142910649</c:v>
                </c:pt>
                <c:pt idx="18">
                  <c:v>3.2428095328486362</c:v>
                </c:pt>
                <c:pt idx="19">
                  <c:v>3.3744332795277709</c:v>
                </c:pt>
                <c:pt idx="20">
                  <c:v>3.4993371997563307</c:v>
                </c:pt>
                <c:pt idx="21">
                  <c:v>3.6173419034768903</c:v>
                </c:pt>
                <c:pt idx="22">
                  <c:v>3.7282812029706172</c:v>
                </c:pt>
                <c:pt idx="23">
                  <c:v>3.8320023260480069</c:v>
                </c:pt>
                <c:pt idx="24">
                  <c:v>3.9283661043790357</c:v>
                </c:pt>
                <c:pt idx="25">
                  <c:v>4.0172471367803393</c:v>
                </c:pt>
                <c:pt idx="26">
                  <c:v>4.0985339273221628</c:v>
                </c:pt>
                <c:pt idx="27">
                  <c:v>4.172128998162913</c:v>
                </c:pt>
                <c:pt idx="28">
                  <c:v>4.2379489770641268</c:v>
                </c:pt>
                <c:pt idx="29">
                  <c:v>4.2959246595834495</c:v>
                </c:pt>
                <c:pt idx="30">
                  <c:v>4.3460010459877747</c:v>
                </c:pt>
                <c:pt idx="31">
                  <c:v>4.3881373529728682</c:v>
                </c:pt>
                <c:pt idx="32">
                  <c:v>4.422307000319579</c:v>
                </c:pt>
                <c:pt idx="33">
                  <c:v>4.4484975726600444</c:v>
                </c:pt>
                <c:pt idx="34">
                  <c:v>4.4667107565699551</c:v>
                </c:pt>
                <c:pt idx="35">
                  <c:v>4.4769622532451434</c:v>
                </c:pt>
                <c:pt idx="36">
                  <c:v>4.4792816670619988</c:v>
                </c:pt>
                <c:pt idx="37">
                  <c:v>4.4737123703619481</c:v>
                </c:pt>
                <c:pt idx="38">
                  <c:v>4.4603113448399139</c:v>
                </c:pt>
                <c:pt idx="39">
                  <c:v>4.4391489999555569</c:v>
                </c:pt>
                <c:pt idx="40">
                  <c:v>4.4103089688240207</c:v>
                </c:pt>
                <c:pt idx="41">
                  <c:v>4.3738878820796989</c:v>
                </c:pt>
                <c:pt idx="42">
                  <c:v>4.3299951202423781</c:v>
                </c:pt>
                <c:pt idx="43">
                  <c:v>4.2787525451496977</c:v>
                </c:pt>
                <c:pt idx="44">
                  <c:v>4.2202942110533144</c:v>
                </c:pt>
                <c:pt idx="45">
                  <c:v>4.154766056008329</c:v>
                </c:pt>
                <c:pt idx="46">
                  <c:v>4.0823255742164273</c:v>
                </c:pt>
                <c:pt idx="47">
                  <c:v>4.0031414700126966</c:v>
                </c:pt>
                <c:pt idx="48">
                  <c:v>3.9173932942142473</c:v>
                </c:pt>
                <c:pt idx="49">
                  <c:v>3.8252710635754656</c:v>
                </c:pt>
                <c:pt idx="50">
                  <c:v>3.7269748641199874</c:v>
                </c:pt>
                <c:pt idx="51">
                  <c:v>3.6227144391431758</c:v>
                </c:pt>
                <c:pt idx="52">
                  <c:v>3.5127087627011675</c:v>
                </c:pt>
                <c:pt idx="53">
                  <c:v>3.3971855994230991</c:v>
                </c:pt>
                <c:pt idx="54">
                  <c:v>3.2763810515022134</c:v>
                </c:pt>
                <c:pt idx="55">
                  <c:v>3.150539093738975</c:v>
                </c:pt>
                <c:pt idx="56">
                  <c:v>3.0199110975250671</c:v>
                </c:pt>
                <c:pt idx="57">
                  <c:v>2.8847553446713023</c:v>
                </c:pt>
                <c:pt idx="58">
                  <c:v>2.7453365319949166</c:v>
                </c:pt>
                <c:pt idx="59">
                  <c:v>2.60192526759249</c:v>
                </c:pt>
                <c:pt idx="60">
                  <c:v>2.4547975597338052</c:v>
                </c:pt>
                <c:pt idx="61">
                  <c:v>2.3042342993193512</c:v>
                </c:pt>
                <c:pt idx="62">
                  <c:v>2.1505207368498356</c:v>
                </c:pt>
                <c:pt idx="63">
                  <c:v>1.9939459548600549</c:v>
                </c:pt>
                <c:pt idx="64">
                  <c:v>1.8348023367717472</c:v>
                </c:pt>
                <c:pt idx="65">
                  <c:v>1.6733850331206386</c:v>
                </c:pt>
                <c:pt idx="66">
                  <c:v>1.5099914261117888</c:v>
                </c:pt>
                <c:pt idx="67">
                  <c:v>1.3449205934545887</c:v>
                </c:pt>
                <c:pt idx="68">
                  <c:v>1.1784727724243076</c:v>
                </c:pt>
                <c:pt idx="69">
                  <c:v>1.0109488250910885</c:v>
                </c:pt>
                <c:pt idx="70">
                  <c:v>0.84264970564949337</c:v>
                </c:pt>
                <c:pt idx="71">
                  <c:v>0.673875930772595</c:v>
                </c:pt>
                <c:pt idx="72">
                  <c:v>0.50492705390356241</c:v>
                </c:pt>
                <c:pt idx="73">
                  <c:v>0.33610114438552208</c:v>
                </c:pt>
                <c:pt idx="74">
                  <c:v>0.16769427231636155</c:v>
                </c:pt>
                <c:pt idx="75">
                  <c:v>-6.603098277009967E-15</c:v>
                </c:pt>
                <c:pt idx="76">
                  <c:v>-0.16669111915143262</c:v>
                </c:pt>
                <c:pt idx="77">
                  <c:v>-0.33209203342787097</c:v>
                </c:pt>
                <c:pt idx="78">
                  <c:v>-0.49591967652757463</c:v>
                </c:pt>
                <c:pt idx="79">
                  <c:v>-0.65789544136310751</c:v>
                </c:pt>
                <c:pt idx="80">
                  <c:v>-0.81774564319352872</c:v>
                </c:pt>
                <c:pt idx="81">
                  <c:v>-0.97520197133229869</c:v>
                </c:pt>
                <c:pt idx="82">
                  <c:v>-1.1300019287051557</c:v>
                </c:pt>
                <c:pt idx="83">
                  <c:v>-1.2818892585579096</c:v>
                </c:pt>
                <c:pt idx="84">
                  <c:v>-1.4306143576407584</c:v>
                </c:pt>
                <c:pt idx="85">
                  <c:v>-1.5759346752237338</c:v>
                </c:pt>
                <c:pt idx="86">
                  <c:v>-1.717615097326429</c:v>
                </c:pt>
                <c:pt idx="87">
                  <c:v>-1.8554283155750695</c:v>
                </c:pt>
                <c:pt idx="88">
                  <c:v>-1.9891551801303085</c:v>
                </c:pt>
                <c:pt idx="89">
                  <c:v>-2.1185850361606722</c:v>
                </c:pt>
                <c:pt idx="90">
                  <c:v>-2.2435160433684449</c:v>
                </c:pt>
                <c:pt idx="91">
                  <c:v>-2.3637554781077275</c:v>
                </c:pt>
                <c:pt idx="92">
                  <c:v>-2.4791200176675674</c:v>
                </c:pt>
                <c:pt idx="93">
                  <c:v>-2.5894360063271602</c:v>
                </c:pt>
                <c:pt idx="94">
                  <c:v>-2.6945397028243248</c:v>
                </c:pt>
                <c:pt idx="95">
                  <c:v>-2.7942775089134573</c:v>
                </c:pt>
                <c:pt idx="96">
                  <c:v>-2.8885061787242199</c:v>
                </c:pt>
                <c:pt idx="97">
                  <c:v>-2.9770930086677616</c:v>
                </c:pt>
                <c:pt idx="98">
                  <c:v>-3.0599160076729963</c:v>
                </c:pt>
                <c:pt idx="99">
                  <c:v>-3.136864047571255</c:v>
                </c:pt>
                <c:pt idx="100">
                  <c:v>-3.2078369934837756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C-4382-AFA8-88C6330A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8368"/>
        <c:axId val="129960128"/>
      </c:scatterChart>
      <c:catAx>
        <c:axId val="1299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0128"/>
        <c:crosses val="autoZero"/>
        <c:auto val="1"/>
        <c:lblAlgn val="ctr"/>
        <c:lblOffset val="100"/>
        <c:noMultiLvlLbl val="0"/>
      </c:catAx>
      <c:valAx>
        <c:axId val="1299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wave</c:v>
          </c:tx>
          <c:spPr>
            <a:ln w="889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Sheet2!$T$2:$T$602</c:f>
              <c:numCache>
                <c:formatCode>General</c:formatCode>
                <c:ptCount val="6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</c:numCache>
            </c:numRef>
          </c:xVal>
          <c:yVal>
            <c:numRef>
              <c:f>Sheet2!$X$103:$X$702</c:f>
              <c:numCache>
                <c:formatCode>General</c:formatCode>
                <c:ptCount val="600"/>
                <c:pt idx="0">
                  <c:v>-2.9150357524131446E-13</c:v>
                </c:pt>
                <c:pt idx="1">
                  <c:v>-3.47139809111493E-2</c:v>
                </c:pt>
                <c:pt idx="2">
                  <c:v>-6.9575475352875532E-2</c:v>
                </c:pt>
                <c:pt idx="3">
                  <c:v>-0.10452371371137338</c:v>
                </c:pt>
                <c:pt idx="4">
                  <c:v>-0.13949740724025858</c:v>
                </c:pt>
                <c:pt idx="5">
                  <c:v>-0.17443485333428563</c:v>
                </c:pt>
                <c:pt idx="6">
                  <c:v>-0.20927404216827963</c:v>
                </c:pt>
                <c:pt idx="7">
                  <c:v>-0.24395276452121234</c:v>
                </c:pt>
                <c:pt idx="8">
                  <c:v>-0.27840872060180238</c:v>
                </c:pt>
                <c:pt idx="9">
                  <c:v>-0.31257962968920494</c:v>
                </c:pt>
                <c:pt idx="10">
                  <c:v>-0.34640334039984771</c:v>
                </c:pt>
                <c:pt idx="11">
                  <c:v>-0.37981794138905139</c:v>
                </c:pt>
                <c:pt idx="12">
                  <c:v>-0.41276187229432981</c:v>
                </c:pt>
                <c:pt idx="13">
                  <c:v>-0.44517403472561545</c:v>
                </c:pt>
                <c:pt idx="14">
                  <c:v>-0.47699390310632428</c:v>
                </c:pt>
                <c:pt idx="15">
                  <c:v>-0.50816163516840795</c:v>
                </c:pt>
                <c:pt idx="16">
                  <c:v>-0.53861818190381894</c:v>
                </c:pt>
                <c:pt idx="17">
                  <c:v>-0.56830539677466674</c:v>
                </c:pt>
                <c:pt idx="18">
                  <c:v>-0.59716614398450873</c:v>
                </c:pt>
                <c:pt idx="19">
                  <c:v>-0.62514440561353846</c:v>
                </c:pt>
                <c:pt idx="20">
                  <c:v>-0.65218538742141308</c:v>
                </c:pt>
                <c:pt idx="21">
                  <c:v>-0.67823562312257624</c:v>
                </c:pt>
                <c:pt idx="22">
                  <c:v>-0.70324307694042409</c:v>
                </c:pt>
                <c:pt idx="23">
                  <c:v>-0.72715724424859196</c:v>
                </c:pt>
                <c:pt idx="24">
                  <c:v>-0.74992925010987965</c:v>
                </c:pt>
                <c:pt idx="25">
                  <c:v>-0.77151194552581537</c:v>
                </c:pt>
                <c:pt idx="26">
                  <c:v>-0.79186000121294153</c:v>
                </c:pt>
                <c:pt idx="27">
                  <c:v>-0.81092999872499449</c:v>
                </c:pt>
                <c:pt idx="28">
                  <c:v>-0.82868051874389337</c:v>
                </c:pt>
                <c:pt idx="29">
                  <c:v>-0.84507222636634516</c:v>
                </c:pt>
                <c:pt idx="30">
                  <c:v>-0.8600679532171196</c:v>
                </c:pt>
                <c:pt idx="31">
                  <c:v>-0.87363277622468116</c:v>
                </c:pt>
                <c:pt idx="32">
                  <c:v>-0.885734092899779</c:v>
                </c:pt>
                <c:pt idx="33">
                  <c:v>-0.8963416929627841</c:v>
                </c:pt>
                <c:pt idx="34">
                  <c:v>-0.90542782617113204</c:v>
                </c:pt>
                <c:pt idx="35">
                  <c:v>-0.91296726620404989</c:v>
                </c:pt>
                <c:pt idx="36">
                  <c:v>-0.91893737046782531</c:v>
                </c:pt>
                <c:pt idx="37">
                  <c:v>-0.92331813569131838</c:v>
                </c:pt>
                <c:pt idx="38">
                  <c:v>-0.92609224918804012</c:v>
                </c:pt>
                <c:pt idx="39">
                  <c:v>-0.92724513566806033</c:v>
                </c:pt>
                <c:pt idx="40">
                  <c:v>-0.92676499949016622</c:v>
                </c:pt>
                <c:pt idx="41">
                  <c:v>-0.92464286225210368</c:v>
                </c:pt>
                <c:pt idx="42">
                  <c:v>-0.92087259562436929</c:v>
                </c:pt>
                <c:pt idx="43">
                  <c:v>-0.91545094934083904</c:v>
                </c:pt>
                <c:pt idx="44">
                  <c:v>-0.90837757426760546</c:v>
                </c:pt>
                <c:pt idx="45">
                  <c:v>-0.899655040479588</c:v>
                </c:pt>
                <c:pt idx="46">
                  <c:v>-0.88928885028290139</c:v>
                </c:pt>
                <c:pt idx="47">
                  <c:v>-0.8772874461295449</c:v>
                </c:pt>
                <c:pt idx="48">
                  <c:v>-0.86366221337966853</c:v>
                </c:pt>
                <c:pt idx="49">
                  <c:v>-0.84842747787551487</c:v>
                </c:pt>
                <c:pt idx="50">
                  <c:v>-0.83160049830013605</c:v>
                </c:pt>
                <c:pt idx="51">
                  <c:v>-0.81320145330295768</c:v>
                </c:pt>
                <c:pt idx="52">
                  <c:v>-0.79325342338353055</c:v>
                </c:pt>
                <c:pt idx="53">
                  <c:v>-0.77178236753392981</c:v>
                </c:pt>
                <c:pt idx="54">
                  <c:v>-0.74881709464956303</c:v>
                </c:pt>
                <c:pt idx="55">
                  <c:v>-0.72438922972749453</c:v>
                </c:pt>
                <c:pt idx="56">
                  <c:v>-0.69853317488069</c:v>
                </c:pt>
                <c:pt idx="57">
                  <c:v>-0.6712860652059105</c:v>
                </c:pt>
                <c:pt idx="58">
                  <c:v>-0.64268771955237558</c:v>
                </c:pt>
                <c:pt idx="59">
                  <c:v>-0.61278058624758158</c:v>
                </c:pt>
                <c:pt idx="60">
                  <c:v>-0.5816096838458461</c:v>
                </c:pt>
                <c:pt idx="61">
                  <c:v>-0.5492225369745426</c:v>
                </c:pt>
                <c:pt idx="62">
                  <c:v>-0.51566910736186544</c:v>
                </c:pt>
                <c:pt idx="63">
                  <c:v>-0.48100172013919851</c:v>
                </c:pt>
                <c:pt idx="64">
                  <c:v>-0.44527498551996725</c:v>
                </c:pt>
                <c:pt idx="65">
                  <c:v>-0.40854571596563971</c:v>
                </c:pt>
                <c:pt idx="66">
                  <c:v>-0.37087283895827533</c:v>
                </c:pt>
                <c:pt idx="67">
                  <c:v>-0.33231730550744765</c:v>
                </c:pt>
                <c:pt idx="68">
                  <c:v>-0.29294199452760877</c:v>
                </c:pt>
                <c:pt idx="69">
                  <c:v>-0.25281161323029</c:v>
                </c:pt>
                <c:pt idx="70">
                  <c:v>-0.2119925936832488</c:v>
                </c:pt>
                <c:pt idx="71">
                  <c:v>-0.17055298569643021</c:v>
                </c:pt>
                <c:pt idx="72">
                  <c:v>-0.12856234620214416</c:v>
                </c:pt>
                <c:pt idx="73">
                  <c:v>-8.6091625303975003E-2</c:v>
                </c:pt>
                <c:pt idx="74">
                  <c:v>-4.3213049175874797E-2</c:v>
                </c:pt>
                <c:pt idx="75">
                  <c:v>2.9506307805177055E-13</c:v>
                </c:pt>
                <c:pt idx="76">
                  <c:v>4.3473106864412664E-2</c:v>
                </c:pt>
                <c:pt idx="77">
                  <c:v>8.7130948274182607E-2</c:v>
                </c:pt>
                <c:pt idx="78">
                  <c:v>0.13089742106141722</c:v>
                </c:pt>
                <c:pt idx="79">
                  <c:v>0.17469577193677258</c:v>
                </c:pt>
                <c:pt idx="80">
                  <c:v>0.21844872932605153</c:v>
                </c:pt>
                <c:pt idx="81">
                  <c:v>0.26207863691656036</c:v>
                </c:pt>
                <c:pt idx="82">
                  <c:v>0.30550758868764899</c:v>
                </c:pt>
                <c:pt idx="83">
                  <c:v>0.34865756519548158</c:v>
                </c:pt>
                <c:pt idx="84">
                  <c:v>0.39145057087856361</c:v>
                </c:pt>
                <c:pt idx="85">
                  <c:v>0.43380877214740782</c:v>
                </c:pt>
                <c:pt idx="86">
                  <c:v>0.47565463601867197</c:v>
                </c:pt>
                <c:pt idx="87">
                  <c:v>0.51691106905200856</c:v>
                </c:pt>
                <c:pt idx="88">
                  <c:v>0.55750155634560916</c:v>
                </c:pt>
                <c:pt idx="89">
                  <c:v>0.59735030034500736</c:v>
                </c:pt>
                <c:pt idx="90">
                  <c:v>0.63638235921853759</c:v>
                </c:pt>
                <c:pt idx="91">
                  <c:v>0.67452378455205042</c:v>
                </c:pt>
                <c:pt idx="92">
                  <c:v>0.7117017581152868</c:v>
                </c:pt>
                <c:pt idx="93">
                  <c:v>0.74784472745244446</c:v>
                </c:pt>
                <c:pt idx="94">
                  <c:v>0.78288254005003954</c:v>
                </c:pt>
                <c:pt idx="95">
                  <c:v>0.81674657583617383</c:v>
                </c:pt>
                <c:pt idx="96">
                  <c:v>0.84936987776689732</c:v>
                </c:pt>
                <c:pt idx="97">
                  <c:v>0.88068728025710663</c:v>
                </c:pt>
                <c:pt idx="98">
                  <c:v>0.91063553521594276</c:v>
                </c:pt>
                <c:pt idx="99">
                  <c:v>0.93915343544928531</c:v>
                </c:pt>
                <c:pt idx="100">
                  <c:v>0.96618193519531648</c:v>
                </c:pt>
                <c:pt idx="101">
                  <c:v>0.99166426756264414</c:v>
                </c:pt>
                <c:pt idx="102">
                  <c:v>1.0155460586447114</c:v>
                </c:pt>
                <c:pt idx="103">
                  <c:v>1.0377754380886013</c:v>
                </c:pt>
                <c:pt idx="104">
                  <c:v>1.0583031459013774</c:v>
                </c:pt>
                <c:pt idx="105">
                  <c:v>1.0770826352824119</c:v>
                </c:pt>
                <c:pt idx="106">
                  <c:v>1.0940701712759062</c:v>
                </c:pt>
                <c:pt idx="107">
                  <c:v>1.1092249250439663</c:v>
                </c:pt>
                <c:pt idx="108">
                  <c:v>1.1225090635671482</c:v>
                </c:pt>
                <c:pt idx="109">
                  <c:v>1.1338878345863106</c:v>
                </c:pt>
                <c:pt idx="110">
                  <c:v>1.1433296466069029</c:v>
                </c:pt>
                <c:pt idx="111">
                  <c:v>1.1508061437944661</c:v>
                </c:pt>
                <c:pt idx="112">
                  <c:v>1.1562922755981531</c:v>
                </c:pt>
                <c:pt idx="113">
                  <c:v>1.1597663609473954</c:v>
                </c:pt>
                <c:pt idx="114">
                  <c:v>1.1612101468755185</c:v>
                </c:pt>
                <c:pt idx="115">
                  <c:v>1.160608861433079</c:v>
                </c:pt>
                <c:pt idx="116">
                  <c:v>1.1579512607629803</c:v>
                </c:pt>
                <c:pt idx="117">
                  <c:v>1.1532296702189717</c:v>
                </c:pt>
                <c:pt idx="118">
                  <c:v>1.1464400194189532</c:v>
                </c:pt>
                <c:pt idx="119">
                  <c:v>1.1375818711346006</c:v>
                </c:pt>
                <c:pt idx="120">
                  <c:v>1.1266584439291185</c:v>
                </c:pt>
                <c:pt idx="121">
                  <c:v>1.1136766284654447</c:v>
                </c:pt>
                <c:pt idx="122">
                  <c:v>1.0986469974180015</c:v>
                </c:pt>
                <c:pt idx="123">
                  <c:v>1.0815838089319314</c:v>
                </c:pt>
                <c:pt idx="124">
                  <c:v>1.0625050035849122</c:v>
                </c:pt>
                <c:pt idx="125">
                  <c:v>1.0414321948177701</c:v>
                </c:pt>
                <c:pt idx="126">
                  <c:v>1.0183906528115705</c:v>
                </c:pt>
                <c:pt idx="127">
                  <c:v>0.99340928180020249</c:v>
                </c:pt>
                <c:pt idx="128">
                  <c:v>0.96652059081912389</c:v>
                </c:pt>
                <c:pt idx="129">
                  <c:v>0.93776065790248642</c:v>
                </c:pt>
                <c:pt idx="130">
                  <c:v>0.90716908775251925</c:v>
                </c:pt>
                <c:pt idx="131">
                  <c:v>0.87478896291676578</c:v>
                </c:pt>
                <c:pt idx="132">
                  <c:v>0.84066678852046806</c:v>
                </c:pt>
                <c:pt idx="133">
                  <c:v>0.80485243061304534</c:v>
                </c:pt>
                <c:pt idx="134">
                  <c:v>0.76739904819927618</c:v>
                </c:pt>
                <c:pt idx="135">
                  <c:v>0.72836301903738931</c:v>
                </c:pt>
                <c:pt idx="136">
                  <c:v>0.68780385929781251</c:v>
                </c:pt>
                <c:pt idx="137">
                  <c:v>0.64578413718771066</c:v>
                </c:pt>
                <c:pt idx="138">
                  <c:v>0.60236938065775136</c:v>
                </c:pt>
                <c:pt idx="139">
                  <c:v>0.55762797931873165</c:v>
                </c:pt>
                <c:pt idx="140">
                  <c:v>0.51163108070671104</c:v>
                </c:pt>
                <c:pt idx="141">
                  <c:v>0.46445248104609232</c:v>
                </c:pt>
                <c:pt idx="142">
                  <c:v>0.41616851067072735</c:v>
                </c:pt>
                <c:pt idx="143">
                  <c:v>0.36685791427355763</c:v>
                </c:pt>
                <c:pt idx="144">
                  <c:v>0.31660172616548576</c:v>
                </c:pt>
                <c:pt idx="145">
                  <c:v>0.26548314073404755</c:v>
                </c:pt>
                <c:pt idx="146">
                  <c:v>0.21358737830206556</c:v>
                </c:pt>
                <c:pt idx="147">
                  <c:v>0.16100154659595339</c:v>
                </c:pt>
                <c:pt idx="148">
                  <c:v>0.10781449804212796</c:v>
                </c:pt>
                <c:pt idx="149">
                  <c:v>5.4116683118955788E-2</c:v>
                </c:pt>
                <c:pt idx="150">
                  <c:v>-2.8185978154254769E-13</c:v>
                </c:pt>
                <c:pt idx="151">
                  <c:v>-5.4442359269652359E-2</c:v>
                </c:pt>
                <c:pt idx="152">
                  <c:v>-0.10911606580700881</c:v>
                </c:pt>
                <c:pt idx="153">
                  <c:v>-0.16392581388605562</c:v>
                </c:pt>
                <c:pt idx="154">
                  <c:v>-0.21877548361900956</c:v>
                </c:pt>
                <c:pt idx="155">
                  <c:v>-0.27356830605817389</c:v>
                </c:pt>
                <c:pt idx="156">
                  <c:v>-0.32820703043912031</c:v>
                </c:pt>
                <c:pt idx="157">
                  <c:v>-0.38259409328246041</c:v>
                </c:pt>
                <c:pt idx="158">
                  <c:v>-0.43663178906636063</c:v>
                </c:pt>
                <c:pt idx="159">
                  <c:v>-0.49022244217741262</c:v>
                </c:pt>
                <c:pt idx="160">
                  <c:v>-0.54326857984340982</c:v>
                </c:pt>
                <c:pt idx="161">
                  <c:v>-0.59567310574807197</c:v>
                </c:pt>
                <c:pt idx="162">
                  <c:v>-0.6473394740247731</c:v>
                </c:pt>
                <c:pt idx="163">
                  <c:v>-0.69817186332384362</c:v>
                </c:pt>
                <c:pt idx="164">
                  <c:v>-0.74807535064600561</c:v>
                </c:pt>
                <c:pt idx="165">
                  <c:v>-0.79695608463307166</c:v>
                </c:pt>
                <c:pt idx="166">
                  <c:v>-0.84472145800616738</c:v>
                </c:pt>
                <c:pt idx="167">
                  <c:v>-0.89128027884138705</c:v>
                </c:pt>
                <c:pt idx="168">
                  <c:v>-0.93654294037293784</c:v>
                </c:pt>
                <c:pt idx="169">
                  <c:v>-0.98042158901458187</c:v>
                </c:pt>
                <c:pt idx="170">
                  <c:v>-1.0228302902914976</c:v>
                </c:pt>
                <c:pt idx="171">
                  <c:v>-1.063685192376528</c:v>
                </c:pt>
                <c:pt idx="172">
                  <c:v>-1.1029046869271435</c:v>
                </c:pt>
                <c:pt idx="173">
                  <c:v>-1.1404095669224024</c:v>
                </c:pt>
                <c:pt idx="174">
                  <c:v>-1.1761231812027138</c:v>
                </c:pt>
                <c:pt idx="175">
                  <c:v>-1.2099715854192574</c:v>
                </c:pt>
                <c:pt idx="176">
                  <c:v>-1.2418836891044165</c:v>
                </c:pt>
                <c:pt idx="177">
                  <c:v>-1.2717913985798428</c:v>
                </c:pt>
                <c:pt idx="178">
                  <c:v>-1.2996297554242757</c:v>
                </c:pt>
                <c:pt idx="179">
                  <c:v>-1.3253370702295679</c:v>
                </c:pt>
                <c:pt idx="180">
                  <c:v>-1.3488550513799251</c:v>
                </c:pt>
                <c:pt idx="181">
                  <c:v>-1.3701289285967098</c:v>
                </c:pt>
                <c:pt idx="182">
                  <c:v>-1.3891075709987484</c:v>
                </c:pt>
                <c:pt idx="183">
                  <c:v>-1.4057435994363721</c:v>
                </c:pt>
                <c:pt idx="184">
                  <c:v>-1.4199934928660189</c:v>
                </c:pt>
                <c:pt idx="185">
                  <c:v>-1.431817688541424</c:v>
                </c:pt>
                <c:pt idx="186">
                  <c:v>-1.4411806758069581</c:v>
                </c:pt>
                <c:pt idx="187">
                  <c:v>-1.4480510832887421</c:v>
                </c:pt>
                <c:pt idx="188">
                  <c:v>-1.4524017592895915</c:v>
                </c:pt>
                <c:pt idx="189">
                  <c:v>-1.4542098452047023</c:v>
                </c:pt>
                <c:pt idx="190">
                  <c:v>-1.4534568417862239</c:v>
                </c:pt>
                <c:pt idx="191">
                  <c:v>-1.4501286680964971</c:v>
                </c:pt>
                <c:pt idx="192">
                  <c:v>-1.4442157130016824</c:v>
                </c:pt>
                <c:pt idx="193">
                  <c:v>-1.435712879069813</c:v>
                </c:pt>
                <c:pt idx="194">
                  <c:v>-1.4246196187499265</c:v>
                </c:pt>
                <c:pt idx="195">
                  <c:v>-1.4109399627218357</c:v>
                </c:pt>
                <c:pt idx="196">
                  <c:v>-1.394682540319272</c:v>
                </c:pt>
                <c:pt idx="197">
                  <c:v>-1.3758605919425804</c:v>
                </c:pt>
                <c:pt idx="198">
                  <c:v>-1.3544919733908154</c:v>
                </c:pt>
                <c:pt idx="199">
                  <c:v>-1.330599152056942</c:v>
                </c:pt>
                <c:pt idx="200">
                  <c:v>-1.3042091949438894</c:v>
                </c:pt>
                <c:pt idx="201">
                  <c:v>-1.2753537484734379</c:v>
                </c:pt>
                <c:pt idx="202">
                  <c:v>-1.2440690100742879</c:v>
                </c:pt>
                <c:pt idx="203">
                  <c:v>-1.2103956915500236</c:v>
                </c:pt>
                <c:pt idx="204">
                  <c:v>-1.1743789742423718</c:v>
                </c:pt>
                <c:pt idx="205">
                  <c:v>-1.1360684560195908</c:v>
                </c:pt>
                <c:pt idx="206">
                  <c:v>-1.0955180901346522</c:v>
                </c:pt>
                <c:pt idx="207">
                  <c:v>-1.0527861160123109</c:v>
                </c:pt>
                <c:pt idx="208">
                  <c:v>-1.0079349820390273</c:v>
                </c:pt>
                <c:pt idx="209">
                  <c:v>-0.9610312604440423</c:v>
                </c:pt>
                <c:pt idx="210">
                  <c:v>-0.91214555437468636</c:v>
                </c:pt>
                <c:pt idx="211">
                  <c:v>-0.8613523972831626</c:v>
                </c:pt>
                <c:pt idx="212">
                  <c:v>-0.80873014475661975</c:v>
                </c:pt>
                <c:pt idx="213">
                  <c:v>-0.75436085893621529</c:v>
                </c:pt>
                <c:pt idx="214">
                  <c:v>-0.69833018568510175</c:v>
                </c:pt>
                <c:pt idx="215">
                  <c:v>-0.64072722467889665</c:v>
                </c:pt>
                <c:pt idx="216">
                  <c:v>-0.58164439260578937</c:v>
                </c:pt>
                <c:pt idx="217">
                  <c:v>-0.52117727967678673</c:v>
                </c:pt>
                <c:pt idx="218">
                  <c:v>-0.45942449965963916</c:v>
                </c:pt>
                <c:pt idx="219">
                  <c:v>-0.39648753366269385</c:v>
                </c:pt>
                <c:pt idx="220">
                  <c:v>-0.33247056790730534</c:v>
                </c:pt>
                <c:pt idx="221">
                  <c:v>-0.26748032573964492</c:v>
                </c:pt>
                <c:pt idx="222">
                  <c:v>-0.20162589414423662</c:v>
                </c:pt>
                <c:pt idx="223">
                  <c:v>-0.13501854503308539</c:v>
                </c:pt>
                <c:pt idx="224">
                  <c:v>-6.7771551594931284E-2</c:v>
                </c:pt>
                <c:pt idx="225">
                  <c:v>2.4609128677049127E-13</c:v>
                </c:pt>
                <c:pt idx="226">
                  <c:v>6.817940323635982E-2</c:v>
                </c:pt>
                <c:pt idx="227">
                  <c:v>0.13664852791149568</c:v>
                </c:pt>
                <c:pt idx="228">
                  <c:v>0.20528802049963921</c:v>
                </c:pt>
                <c:pt idx="229">
                  <c:v>0.27397750788183889</c:v>
                </c:pt>
                <c:pt idx="230">
                  <c:v>0.34259580410667473</c:v>
                </c:pt>
                <c:pt idx="231">
                  <c:v>0.41102111983268058</c:v>
                </c:pt>
                <c:pt idx="232">
                  <c:v>0.47913127409834749</c:v>
                </c:pt>
                <c:pt idx="233">
                  <c:v>0.54680390805919199</c:v>
                </c:pt>
                <c:pt idx="234">
                  <c:v>0.61391670032572443</c:v>
                </c:pt>
                <c:pt idx="235">
                  <c:v>0.68034758353109481</c:v>
                </c:pt>
                <c:pt idx="236">
                  <c:v>0.74597496175276667</c:v>
                </c:pt>
                <c:pt idx="237">
                  <c:v>0.8106779284088157</c:v>
                </c:pt>
                <c:pt idx="238">
                  <c:v>0.87433648424635435</c:v>
                </c:pt>
                <c:pt idx="239">
                  <c:v>0.93683175503709271</c:v>
                </c:pt>
                <c:pt idx="240">
                  <c:v>0.99804620859322657</c:v>
                </c:pt>
                <c:pt idx="241">
                  <c:v>1.0578638707157426</c:v>
                </c:pt>
                <c:pt idx="242">
                  <c:v>1.1161705396867976</c:v>
                </c:pt>
                <c:pt idx="243">
                  <c:v>1.1728539989180671</c:v>
                </c:pt>
                <c:pt idx="244">
                  <c:v>1.2278042273678</c:v>
                </c:pt>
                <c:pt idx="245">
                  <c:v>1.2809136073410796</c:v>
                </c:pt>
                <c:pt idx="246">
                  <c:v>1.3320771292899607</c:v>
                </c:pt>
                <c:pt idx="247">
                  <c:v>1.3811925932332643</c:v>
                </c:pt>
                <c:pt idx="248">
                  <c:v>1.4281608064193785</c:v>
                </c:pt>
                <c:pt idx="249">
                  <c:v>1.4728857768599306</c:v>
                </c:pt>
                <c:pt idx="250">
                  <c:v>1.5152749023671566</c:v>
                </c:pt>
                <c:pt idx="251">
                  <c:v>1.5552391547335567</c:v>
                </c:pt>
                <c:pt idx="252">
                  <c:v>1.592693258698902</c:v>
                </c:pt>
                <c:pt idx="253">
                  <c:v>1.6275558653566446</c:v>
                </c:pt>
                <c:pt idx="254">
                  <c:v>1.659749719659612</c:v>
                </c:pt>
                <c:pt idx="255">
                  <c:v>1.6892018216931814</c:v>
                </c:pt>
                <c:pt idx="256">
                  <c:v>1.7158435813932411</c:v>
                </c:pt>
                <c:pt idx="257">
                  <c:v>1.7396109663958004</c:v>
                </c:pt>
                <c:pt idx="258">
                  <c:v>1.760444642715455</c:v>
                </c:pt>
                <c:pt idx="259">
                  <c:v>1.7782901079607205</c:v>
                </c:pt>
                <c:pt idx="260">
                  <c:v>1.7930978168057328</c:v>
                </c:pt>
                <c:pt idx="261">
                  <c:v>1.8048232984497805</c:v>
                </c:pt>
                <c:pt idx="262">
                  <c:v>1.8134272658087174</c:v>
                </c:pt>
                <c:pt idx="263">
                  <c:v>1.8188757161953775</c:v>
                </c:pt>
                <c:pt idx="264">
                  <c:v>1.8211400232597026</c:v>
                </c:pt>
                <c:pt idx="265">
                  <c:v>1.8201970199733768</c:v>
                </c:pt>
                <c:pt idx="266">
                  <c:v>1.816029072458305</c:v>
                </c:pt>
                <c:pt idx="267">
                  <c:v>1.8086241444732509</c:v>
                </c:pt>
                <c:pt idx="268">
                  <c:v>1.7979758523883684</c:v>
                </c:pt>
                <c:pt idx="269">
                  <c:v>1.7840835104931505</c:v>
                </c:pt>
                <c:pt idx="270">
                  <c:v>1.7669521664994867</c:v>
                </c:pt>
                <c:pt idx="271">
                  <c:v>1.7465926271180348</c:v>
                </c:pt>
                <c:pt idx="272">
                  <c:v>1.7230214736029168</c:v>
                </c:pt>
                <c:pt idx="273">
                  <c:v>1.6962610671769092</c:v>
                </c:pt>
                <c:pt idx="274">
                  <c:v>1.6663395442665907</c:v>
                </c:pt>
                <c:pt idx="275">
                  <c:v>1.6332908014945908</c:v>
                </c:pt>
                <c:pt idx="276">
                  <c:v>1.5971544703937921</c:v>
                </c:pt>
                <c:pt idx="277">
                  <c:v>1.5579758818264202</c:v>
                </c:pt>
                <c:pt idx="278">
                  <c:v>1.5158060201089285</c:v>
                </c:pt>
                <c:pt idx="279">
                  <c:v>1.4707014668618954</c:v>
                </c:pt>
                <c:pt idx="280">
                  <c:v>1.4227243346224314</c:v>
                </c:pt>
                <c:pt idx="281">
                  <c:v>1.371942190274833</c:v>
                </c:pt>
                <c:pt idx="282">
                  <c:v>1.3184279683737115</c:v>
                </c:pt>
                <c:pt idx="283">
                  <c:v>1.2622598744520031</c:v>
                </c:pt>
                <c:pt idx="284">
                  <c:v>1.2035212784246707</c:v>
                </c:pt>
                <c:pt idx="285">
                  <c:v>1.1423005982169419</c:v>
                </c:pt>
                <c:pt idx="286">
                  <c:v>1.0786911737641314</c:v>
                </c:pt>
                <c:pt idx="287">
                  <c:v>1.012791131547955</c:v>
                </c:pt>
                <c:pt idx="288">
                  <c:v>0.94470323985193461</c:v>
                </c:pt>
                <c:pt idx="289">
                  <c:v>0.87453475493605048</c:v>
                </c:pt>
                <c:pt idx="290">
                  <c:v>0.80239725834807207</c:v>
                </c:pt>
                <c:pt idx="291">
                  <c:v>0.72840648560596699</c:v>
                </c:pt>
                <c:pt idx="292">
                  <c:v>0.6526821465024375</c:v>
                </c:pt>
                <c:pt idx="293">
                  <c:v>0.57534773729897382</c:v>
                </c:pt>
                <c:pt idx="294">
                  <c:v>0.49653034509280625</c:v>
                </c:pt>
                <c:pt idx="295">
                  <c:v>0.4163604446556588</c:v>
                </c:pt>
                <c:pt idx="296">
                  <c:v>0.33497168805828909</c:v>
                </c:pt>
                <c:pt idx="297">
                  <c:v>0.25250068740945769</c:v>
                </c:pt>
                <c:pt idx="298">
                  <c:v>0.16908679105224236</c:v>
                </c:pt>
                <c:pt idx="299">
                  <c:v>8.4871853574030751E-2</c:v>
                </c:pt>
                <c:pt idx="300">
                  <c:v>-1.7071622338750767E-13</c:v>
                </c:pt>
                <c:pt idx="301">
                  <c:v>-8.5382615449160343E-2</c:v>
                </c:pt>
                <c:pt idx="302">
                  <c:v>-0.17112805563760541</c:v>
                </c:pt>
                <c:pt idx="303">
                  <c:v>-0.25708685143362775</c:v>
                </c:pt>
                <c:pt idx="304">
                  <c:v>-0.34310825684592361</c:v>
                </c:pt>
                <c:pt idx="305">
                  <c:v>-0.42904050795466814</c:v>
                </c:pt>
                <c:pt idx="306">
                  <c:v>-0.51473108520094979</c:v>
                </c:pt>
                <c:pt idx="307">
                  <c:v>-0.60002697859117404</c:v>
                </c:pt>
                <c:pt idx="308">
                  <c:v>-0.68477495536487754</c:v>
                </c:pt>
                <c:pt idx="309">
                  <c:v>-0.76882182966732271</c:v>
                </c:pt>
                <c:pt idx="310">
                  <c:v>-0.85201473376210157</c:v>
                </c:pt>
                <c:pt idx="311">
                  <c:v>-0.93420139031321525</c:v>
                </c:pt>
                <c:pt idx="312">
                  <c:v>-1.015230385261592</c:v>
                </c:pt>
                <c:pt idx="313">
                  <c:v>-1.0949514408169121</c:v>
                </c:pt>
                <c:pt idx="314">
                  <c:v>-1.1732156880827178</c:v>
                </c:pt>
                <c:pt idx="315">
                  <c:v>-1.2498759388303391</c:v>
                </c:pt>
                <c:pt idx="316">
                  <c:v>-1.3247869559358587</c:v>
                </c:pt>
                <c:pt idx="317">
                  <c:v>-1.397805721993796</c:v>
                </c:pt>
                <c:pt idx="318">
                  <c:v>-1.4687917056214512</c:v>
                </c:pt>
                <c:pt idx="319">
                  <c:v>-1.5376071249689873</c:v>
                </c:pt>
                <c:pt idx="320">
                  <c:v>-1.6041172079523947</c:v>
                </c:pt>
                <c:pt idx="321">
                  <c:v>-1.6681904487293659</c:v>
                </c:pt>
                <c:pt idx="322">
                  <c:v>-1.7296988599418692</c:v>
                </c:pt>
                <c:pt idx="323">
                  <c:v>-1.788518220253787</c:v>
                </c:pt>
                <c:pt idx="324">
                  <c:v>-1.8445283167175084</c:v>
                </c:pt>
                <c:pt idx="325">
                  <c:v>-1.8976131815097164</c:v>
                </c:pt>
                <c:pt idx="326">
                  <c:v>-1.9476613225837887</c:v>
                </c:pt>
                <c:pt idx="327">
                  <c:v>-1.9945659477942073</c:v>
                </c:pt>
                <c:pt idx="328">
                  <c:v>-2.0382251820573685</c:v>
                </c:pt>
                <c:pt idx="329">
                  <c:v>-2.078542277122748</c:v>
                </c:pt>
                <c:pt idx="330">
                  <c:v>-2.1154258135389936</c:v>
                </c:pt>
                <c:pt idx="331">
                  <c:v>-2.1487898944107093</c:v>
                </c:pt>
                <c:pt idx="332">
                  <c:v>-2.1785543305538977</c:v>
                </c:pt>
                <c:pt idx="333">
                  <c:v>-2.2046448166707959</c:v>
                </c:pt>
                <c:pt idx="334">
                  <c:v>-2.2269930981784603</c:v>
                </c:pt>
                <c:pt idx="335">
                  <c:v>-2.2455371283398304</c:v>
                </c:pt>
                <c:pt idx="336">
                  <c:v>-2.2602212153609686</c:v>
                </c:pt>
                <c:pt idx="337">
                  <c:v>-2.2709961591339454</c:v>
                </c:pt>
                <c:pt idx="338">
                  <c:v>-2.2778193773212099</c:v>
                </c:pt>
                <c:pt idx="339">
                  <c:v>-2.2806550204943039</c:v>
                </c:pt>
                <c:pt idx="340">
                  <c:v>-2.2794740760574017</c:v>
                </c:pt>
                <c:pt idx="341">
                  <c:v>-2.2742544607043884</c:v>
                </c:pt>
                <c:pt idx="342">
                  <c:v>-2.2649811011769461</c:v>
                </c:pt>
                <c:pt idx="343">
                  <c:v>-2.2516460031104089</c:v>
                </c:pt>
                <c:pt idx="344">
                  <c:v>-2.2342483077739304</c:v>
                </c:pt>
                <c:pt idx="345">
                  <c:v>-2.2127943365317746</c:v>
                </c:pt>
                <c:pt idx="346">
                  <c:v>-2.1872976228731855</c:v>
                </c:pt>
                <c:pt idx="347">
                  <c:v>-2.1577789318793625</c:v>
                </c:pt>
                <c:pt idx="348">
                  <c:v>-2.1242662670175547</c:v>
                </c:pt>
                <c:pt idx="349">
                  <c:v>-2.086794864173914</c:v>
                </c:pt>
                <c:pt idx="350">
                  <c:v>-2.0454071728589627</c:v>
                </c:pt>
                <c:pt idx="351">
                  <c:v>-2.0001528245416087</c:v>
                </c:pt>
                <c:pt idx="352">
                  <c:v>-1.9510885880903599</c:v>
                </c:pt>
                <c:pt idx="353">
                  <c:v>-1.8982783123228786</c:v>
                </c:pt>
                <c:pt idx="354">
                  <c:v>-1.8417928556879426</c:v>
                </c:pt>
                <c:pt idx="355">
                  <c:v>-1.7817100031267261</c:v>
                </c:pt>
                <c:pt idx="356">
                  <c:v>-1.7181143701833002</c:v>
                </c:pt>
                <c:pt idx="357">
                  <c:v>-1.6510972944571958</c:v>
                </c:pt>
                <c:pt idx="358">
                  <c:v>-1.5807567145138504</c:v>
                </c:pt>
                <c:pt idx="359">
                  <c:v>-1.5071970363916101</c:v>
                </c:pt>
                <c:pt idx="360">
                  <c:v>-1.4305289878667546</c:v>
                </c:pt>
                <c:pt idx="361">
                  <c:v>-1.3508694606606149</c:v>
                </c:pt>
                <c:pt idx="362">
                  <c:v>-1.2683413407953021</c:v>
                </c:pt>
                <c:pt idx="363">
                  <c:v>-1.1830733273267688</c:v>
                </c:pt>
                <c:pt idx="364">
                  <c:v>-1.0951997397058413</c:v>
                </c:pt>
                <c:pt idx="365">
                  <c:v>-1.0048603140395063</c:v>
                </c:pt>
                <c:pt idx="366">
                  <c:v>-0.91219998854598616</c:v>
                </c:pt>
                <c:pt idx="367">
                  <c:v>-0.81736867851802375</c:v>
                </c:pt>
                <c:pt idx="368">
                  <c:v>-0.72052104112924775</c:v>
                </c:pt>
                <c:pt idx="369">
                  <c:v>-0.62181623043846779</c:v>
                </c:pt>
                <c:pt idx="370">
                  <c:v>-0.5214176429661902</c:v>
                </c:pt>
                <c:pt idx="371">
                  <c:v>-0.41949265423669624</c:v>
                </c:pt>
                <c:pt idx="372">
                  <c:v>-0.31621234669708825</c:v>
                </c:pt>
                <c:pt idx="373">
                  <c:v>-0.21175122944287991</c:v>
                </c:pt>
                <c:pt idx="374">
                  <c:v>-0.10628695019623936</c:v>
                </c:pt>
                <c:pt idx="375">
                  <c:v>4.1635645356205934E-14</c:v>
                </c:pt>
                <c:pt idx="376">
                  <c:v>0.10692658889468942</c:v>
                </c:pt>
                <c:pt idx="377">
                  <c:v>0.2143075514525449</c:v>
                </c:pt>
                <c:pt idx="378">
                  <c:v>0.32195570408439661</c:v>
                </c:pt>
                <c:pt idx="379">
                  <c:v>0.42968226416096894</c:v>
                </c:pt>
                <c:pt idx="380">
                  <c:v>0.53729717427795376</c:v>
                </c:pt>
                <c:pt idx="381">
                  <c:v>0.64460943072706678</c:v>
                </c:pt>
                <c:pt idx="382">
                  <c:v>0.75142741561752902</c:v>
                </c:pt>
                <c:pt idx="383">
                  <c:v>0.85755923208253548</c:v>
                </c:pt>
                <c:pt idx="384">
                  <c:v>0.96281304199641138</c:v>
                </c:pt>
                <c:pt idx="385">
                  <c:v>1.066997405620276</c:v>
                </c:pt>
                <c:pt idx="386">
                  <c:v>1.169921622587101</c:v>
                </c:pt>
                <c:pt idx="387">
                  <c:v>1.2713960736311474</c:v>
                </c:pt>
                <c:pt idx="388">
                  <c:v>1.3712325624618709</c:v>
                </c:pt>
                <c:pt idx="389">
                  <c:v>1.4692446571785038</c:v>
                </c:pt>
                <c:pt idx="390">
                  <c:v>1.5652480306187171</c:v>
                </c:pt>
                <c:pt idx="391">
                  <c:v>1.6590607990329966</c:v>
                </c:pt>
                <c:pt idx="392">
                  <c:v>1.7505038584756549</c:v>
                </c:pt>
                <c:pt idx="393">
                  <c:v>1.8394012183037989</c:v>
                </c:pt>
                <c:pt idx="394">
                  <c:v>1.9255803311769923</c:v>
                </c:pt>
                <c:pt idx="395">
                  <c:v>2.0088724189529201</c:v>
                </c:pt>
                <c:pt idx="396">
                  <c:v>2.0891127938779577</c:v>
                </c:pt>
                <c:pt idx="397">
                  <c:v>2.1661411744762544</c:v>
                </c:pt>
                <c:pt idx="398">
                  <c:v>2.2398019955467454</c:v>
                </c:pt>
                <c:pt idx="399">
                  <c:v>2.3099447116843672</c:v>
                </c:pt>
                <c:pt idx="400">
                  <c:v>2.3764240937496286</c:v>
                </c:pt>
                <c:pt idx="401">
                  <c:v>2.439100517719873</c:v>
                </c:pt>
                <c:pt idx="402">
                  <c:v>2.497840245365353</c:v>
                </c:pt>
                <c:pt idx="403">
                  <c:v>2.5525156962046567</c:v>
                </c:pt>
                <c:pt idx="404">
                  <c:v>2.6030057102059092</c:v>
                </c:pt>
                <c:pt idx="405">
                  <c:v>2.6491958007134713</c:v>
                </c:pt>
                <c:pt idx="406">
                  <c:v>2.6909783970939904</c:v>
                </c:pt>
                <c:pt idx="407">
                  <c:v>2.7282530766107551</c:v>
                </c:pt>
                <c:pt idx="408">
                  <c:v>2.7609267850514421</c:v>
                </c:pt>
                <c:pt idx="409">
                  <c:v>2.7889140456513486</c:v>
                </c:pt>
                <c:pt idx="410">
                  <c:v>2.8121371558721866</c:v>
                </c:pt>
                <c:pt idx="411">
                  <c:v>2.8305263716153033</c:v>
                </c:pt>
                <c:pt idx="412">
                  <c:v>2.8440200784678984</c:v>
                </c:pt>
                <c:pt idx="413">
                  <c:v>2.8525649496013505</c:v>
                </c:pt>
                <c:pt idx="414">
                  <c:v>2.8561160899620375</c:v>
                </c:pt>
                <c:pt idx="415">
                  <c:v>2.8546371664171506</c:v>
                </c:pt>
                <c:pt idx="416">
                  <c:v>2.8481005235407948</c:v>
                </c:pt>
                <c:pt idx="417">
                  <c:v>2.8364872847491713</c:v>
                </c:pt>
                <c:pt idx="418">
                  <c:v>2.819787438517805</c:v>
                </c:pt>
                <c:pt idx="419">
                  <c:v>2.7979999094385533</c:v>
                </c:pt>
                <c:pt idx="420">
                  <c:v>2.7711326138994821</c:v>
                </c:pt>
                <c:pt idx="421">
                  <c:v>2.7392025001965954</c:v>
                </c:pt>
                <c:pt idx="422">
                  <c:v>2.7022355729127887</c:v>
                </c:pt>
                <c:pt idx="423">
                  <c:v>2.6602669014262239</c:v>
                </c:pt>
                <c:pt idx="424">
                  <c:v>2.6133406124375647</c:v>
                </c:pt>
                <c:pt idx="425">
                  <c:v>2.5615098664331164</c:v>
                </c:pt>
                <c:pt idx="426">
                  <c:v>2.5048368180288367</c:v>
                </c:pt>
                <c:pt idx="427">
                  <c:v>2.4433925601683328</c:v>
                </c:pt>
                <c:pt idx="428">
                  <c:v>2.3772570521763638</c:v>
                </c:pt>
                <c:pt idx="429">
                  <c:v>2.3065190316979658</c:v>
                </c:pt>
                <c:pt idx="430">
                  <c:v>2.2312759105819508</c:v>
                </c:pt>
                <c:pt idx="431">
                  <c:v>2.1516336547962993</c:v>
                </c:pt>
                <c:pt idx="432">
                  <c:v>2.0677066484917526</c:v>
                </c:pt>
                <c:pt idx="433">
                  <c:v>1.9796175423585929</c:v>
                </c:pt>
                <c:pt idx="434">
                  <c:v>1.8874970864503515</c:v>
                </c:pt>
                <c:pt idx="435">
                  <c:v>1.791483947676574</c:v>
                </c:pt>
                <c:pt idx="436">
                  <c:v>1.6917245121952242</c:v>
                </c:pt>
                <c:pt idx="437">
                  <c:v>1.588372672963289</c:v>
                </c:pt>
                <c:pt idx="438">
                  <c:v>1.4815896027320912</c:v>
                </c:pt>
                <c:pt idx="439">
                  <c:v>1.3715435128011253</c:v>
                </c:pt>
                <c:pt idx="440">
                  <c:v>1.2584093978714497</c:v>
                </c:pt>
                <c:pt idx="441">
                  <c:v>1.142368767366182</c:v>
                </c:pt>
                <c:pt idx="442">
                  <c:v>1.0236093636119306</c:v>
                </c:pt>
                <c:pt idx="443">
                  <c:v>0.90232486730045569</c:v>
                </c:pt>
                <c:pt idx="444">
                  <c:v>0.77871459067496496</c:v>
                </c:pt>
                <c:pt idx="445">
                  <c:v>0.65298315890986025</c:v>
                </c:pt>
                <c:pt idx="446">
                  <c:v>0.5253401801763079</c:v>
                </c:pt>
                <c:pt idx="447">
                  <c:v>0.39599990490918147</c:v>
                </c:pt>
                <c:pt idx="448">
                  <c:v>0.26518087481294411</c:v>
                </c:pt>
                <c:pt idx="449">
                  <c:v>0.1331055621655774</c:v>
                </c:pt>
                <c:pt idx="450">
                  <c:v>1.3376999956827804E-14</c:v>
                </c:pt>
                <c:pt idx="451">
                  <c:v>-0.13390659623765677</c:v>
                </c:pt>
                <c:pt idx="452">
                  <c:v>-0.26838221493541836</c:v>
                </c:pt>
                <c:pt idx="453">
                  <c:v>-0.40319244183237801</c:v>
                </c:pt>
                <c:pt idx="454">
                  <c:v>-0.53810086015348013</c:v>
                </c:pt>
                <c:pt idx="455">
                  <c:v>-0.67286945669392595</c:v>
                </c:pt>
                <c:pt idx="456">
                  <c:v>-0.80725903317095982</c:v>
                </c:pt>
                <c:pt idx="457">
                  <c:v>-0.94102962214713126</c:v>
                </c:pt>
                <c:pt idx="458">
                  <c:v>-1.0739409068169679</c:v>
                </c:pt>
                <c:pt idx="459">
                  <c:v>-1.2057526439378554</c:v>
                </c:pt>
                <c:pt idx="460">
                  <c:v>-1.3362250891760179</c:v>
                </c:pt>
                <c:pt idx="461">
                  <c:v>-1.4651194241298382</c:v>
                </c:pt>
                <c:pt idx="462">
                  <c:v>-1.5921981842854003</c:v>
                </c:pt>
                <c:pt idx="463">
                  <c:v>-1.7172256871529514</c:v>
                </c:pt>
                <c:pt idx="464">
                  <c:v>-1.8399684598281425</c:v>
                </c:pt>
                <c:pt idx="465">
                  <c:v>-1.9601956652183778</c:v>
                </c:pt>
                <c:pt idx="466">
                  <c:v>-2.077679526172429</c:v>
                </c:pt>
                <c:pt idx="467">
                  <c:v>-2.1921957467505546</c:v>
                </c:pt>
                <c:pt idx="468">
                  <c:v>-2.3035239298728238</c:v>
                </c:pt>
                <c:pt idx="469">
                  <c:v>-2.4114479905851889</c:v>
                </c:pt>
                <c:pt idx="470">
                  <c:v>-2.5157565641860358</c:v>
                </c:pt>
                <c:pt idx="471">
                  <c:v>-2.6162434084604125</c:v>
                </c:pt>
                <c:pt idx="472">
                  <c:v>-2.7127077992751336</c:v>
                </c:pt>
                <c:pt idx="473">
                  <c:v>-2.8049549187950595</c:v>
                </c:pt>
                <c:pt idx="474">
                  <c:v>-2.8927962355895995</c:v>
                </c:pt>
                <c:pt idx="475">
                  <c:v>-2.9760498759083296</c:v>
                </c:pt>
                <c:pt idx="476">
                  <c:v>-3.0545409854159375</c:v>
                </c:pt>
                <c:pt idx="477">
                  <c:v>-3.1281020806892958</c:v>
                </c:pt>
                <c:pt idx="478">
                  <c:v>-3.1965733897933886</c:v>
                </c:pt>
                <c:pt idx="479">
                  <c:v>-3.2598031812680008</c:v>
                </c:pt>
                <c:pt idx="480">
                  <c:v>-3.3176480808735778</c:v>
                </c:pt>
                <c:pt idx="481">
                  <c:v>-3.3699733754623775</c:v>
                </c:pt>
                <c:pt idx="482">
                  <c:v>-3.4166533033599955</c:v>
                </c:pt>
                <c:pt idx="483">
                  <c:v>-3.4575713306624958</c:v>
                </c:pt>
                <c:pt idx="484">
                  <c:v>-3.4926204128757399</c:v>
                </c:pt>
                <c:pt idx="485">
                  <c:v>-3.5217032413459228</c:v>
                </c:pt>
                <c:pt idx="486">
                  <c:v>-3.5447324739539794</c:v>
                </c:pt>
                <c:pt idx="487">
                  <c:v>-3.5616309495711183</c:v>
                </c:pt>
                <c:pt idx="488">
                  <c:v>-3.5723318857984725</c:v>
                </c:pt>
                <c:pt idx="489">
                  <c:v>-3.5767790595405464</c:v>
                </c:pt>
                <c:pt idx="490">
                  <c:v>-3.5749269699897726</c:v>
                </c:pt>
                <c:pt idx="491">
                  <c:v>-3.5667409836280775</c:v>
                </c:pt>
                <c:pt idx="492">
                  <c:v>-3.5521974608807665</c:v>
                </c:pt>
                <c:pt idx="493">
                  <c:v>-3.5312838640883153</c:v>
                </c:pt>
                <c:pt idx="494">
                  <c:v>-3.503998846492677</c:v>
                </c:pt>
                <c:pt idx="495">
                  <c:v>-3.4703523219664563</c:v>
                </c:pt>
                <c:pt idx="496">
                  <c:v>-3.4303655152457435</c:v>
                </c:pt>
                <c:pt idx="497">
                  <c:v>-3.3840709924604191</c:v>
                </c:pt>
                <c:pt idx="498">
                  <c:v>-3.3315126717894019</c:v>
                </c:pt>
                <c:pt idx="499">
                  <c:v>-3.2727458141023158</c:v>
                </c:pt>
                <c:pt idx="500">
                  <c:v>-3.2078369934837756</c:v>
                </c:pt>
                <c:pt idx="501">
                  <c:v>-3.136864047571255</c:v>
                </c:pt>
                <c:pt idx="502">
                  <c:v>-3.0599160076729963</c:v>
                </c:pt>
                <c:pt idx="503">
                  <c:v>-2.9770930086677616</c:v>
                </c:pt>
                <c:pt idx="504">
                  <c:v>-2.8885061787242199</c:v>
                </c:pt>
                <c:pt idx="505">
                  <c:v>-2.7942775089134573</c:v>
                </c:pt>
                <c:pt idx="506">
                  <c:v>-2.6945397028243248</c:v>
                </c:pt>
                <c:pt idx="507">
                  <c:v>-2.5894360063271602</c:v>
                </c:pt>
                <c:pt idx="508">
                  <c:v>-2.4791200176675674</c:v>
                </c:pt>
                <c:pt idx="509">
                  <c:v>-2.3637554781077275</c:v>
                </c:pt>
                <c:pt idx="510">
                  <c:v>-2.2435160433684449</c:v>
                </c:pt>
                <c:pt idx="511">
                  <c:v>-2.1185850361606722</c:v>
                </c:pt>
                <c:pt idx="512">
                  <c:v>-1.9891551801303085</c:v>
                </c:pt>
                <c:pt idx="513">
                  <c:v>-1.8554283155750695</c:v>
                </c:pt>
                <c:pt idx="514">
                  <c:v>-1.717615097326429</c:v>
                </c:pt>
                <c:pt idx="515">
                  <c:v>-1.5759346752237338</c:v>
                </c:pt>
                <c:pt idx="516">
                  <c:v>-1.4306143576407584</c:v>
                </c:pt>
                <c:pt idx="517">
                  <c:v>-1.2818892585579096</c:v>
                </c:pt>
                <c:pt idx="518">
                  <c:v>-1.1300019287051557</c:v>
                </c:pt>
                <c:pt idx="519">
                  <c:v>-0.97520197133229869</c:v>
                </c:pt>
                <c:pt idx="520">
                  <c:v>-0.81774564319352872</c:v>
                </c:pt>
                <c:pt idx="521">
                  <c:v>-0.65789544136310751</c:v>
                </c:pt>
                <c:pt idx="522">
                  <c:v>-0.49591967652757463</c:v>
                </c:pt>
                <c:pt idx="523">
                  <c:v>-0.33209203342787097</c:v>
                </c:pt>
                <c:pt idx="524">
                  <c:v>-0.16669111915143262</c:v>
                </c:pt>
                <c:pt idx="525">
                  <c:v>-6.603098277009967E-15</c:v>
                </c:pt>
                <c:pt idx="526">
                  <c:v>0.16769427231636155</c:v>
                </c:pt>
                <c:pt idx="527">
                  <c:v>0.33610114438552208</c:v>
                </c:pt>
                <c:pt idx="528">
                  <c:v>0.50492705390356241</c:v>
                </c:pt>
                <c:pt idx="529">
                  <c:v>0.673875930772595</c:v>
                </c:pt>
                <c:pt idx="530">
                  <c:v>0.84264970564949337</c:v>
                </c:pt>
                <c:pt idx="531">
                  <c:v>1.0109488250910885</c:v>
                </c:pt>
                <c:pt idx="532">
                  <c:v>1.1784727724243076</c:v>
                </c:pt>
                <c:pt idx="533">
                  <c:v>1.3449205934545887</c:v>
                </c:pt>
                <c:pt idx="534">
                  <c:v>1.5099914261117888</c:v>
                </c:pt>
                <c:pt idx="535">
                  <c:v>1.6733850331206386</c:v>
                </c:pt>
                <c:pt idx="536">
                  <c:v>1.8348023367717472</c:v>
                </c:pt>
                <c:pt idx="537">
                  <c:v>1.9939459548600549</c:v>
                </c:pt>
                <c:pt idx="538">
                  <c:v>2.1505207368498356</c:v>
                </c:pt>
                <c:pt idx="539">
                  <c:v>2.3042342993193512</c:v>
                </c:pt>
                <c:pt idx="540">
                  <c:v>2.4547975597338052</c:v>
                </c:pt>
                <c:pt idx="541">
                  <c:v>2.60192526759249</c:v>
                </c:pt>
                <c:pt idx="542">
                  <c:v>2.7453365319949166</c:v>
                </c:pt>
                <c:pt idx="543">
                  <c:v>2.8847553446713023</c:v>
                </c:pt>
                <c:pt idx="544">
                  <c:v>3.0199110975250671</c:v>
                </c:pt>
                <c:pt idx="545">
                  <c:v>3.150539093738975</c:v>
                </c:pt>
                <c:pt idx="546">
                  <c:v>3.2763810515022134</c:v>
                </c:pt>
                <c:pt idx="547">
                  <c:v>3.3971855994230991</c:v>
                </c:pt>
                <c:pt idx="548">
                  <c:v>3.5127087627011675</c:v>
                </c:pt>
                <c:pt idx="549">
                  <c:v>3.6227144391431758</c:v>
                </c:pt>
                <c:pt idx="550">
                  <c:v>3.7269748641199874</c:v>
                </c:pt>
                <c:pt idx="551">
                  <c:v>3.8252710635754656</c:v>
                </c:pt>
                <c:pt idx="552">
                  <c:v>3.9173932942142473</c:v>
                </c:pt>
                <c:pt idx="553">
                  <c:v>4.0031414700126966</c:v>
                </c:pt>
                <c:pt idx="554">
                  <c:v>4.0823255742164273</c:v>
                </c:pt>
                <c:pt idx="555">
                  <c:v>4.154766056008329</c:v>
                </c:pt>
                <c:pt idx="556">
                  <c:v>4.2202942110533144</c:v>
                </c:pt>
                <c:pt idx="557">
                  <c:v>4.2787525451496977</c:v>
                </c:pt>
                <c:pt idx="558">
                  <c:v>4.3299951202423781</c:v>
                </c:pt>
                <c:pt idx="559">
                  <c:v>4.3738878820796989</c:v>
                </c:pt>
                <c:pt idx="560">
                  <c:v>4.4103089688240207</c:v>
                </c:pt>
                <c:pt idx="561">
                  <c:v>4.4391489999555569</c:v>
                </c:pt>
                <c:pt idx="562">
                  <c:v>4.4603113448399139</c:v>
                </c:pt>
                <c:pt idx="563">
                  <c:v>4.4737123703619481</c:v>
                </c:pt>
                <c:pt idx="564">
                  <c:v>4.4792816670619988</c:v>
                </c:pt>
                <c:pt idx="565">
                  <c:v>4.4769622532451434</c:v>
                </c:pt>
                <c:pt idx="566">
                  <c:v>4.4667107565699551</c:v>
                </c:pt>
                <c:pt idx="567">
                  <c:v>4.4484975726600444</c:v>
                </c:pt>
                <c:pt idx="568">
                  <c:v>4.422307000319579</c:v>
                </c:pt>
                <c:pt idx="569">
                  <c:v>4.3881373529728682</c:v>
                </c:pt>
                <c:pt idx="570">
                  <c:v>4.3460010459877747</c:v>
                </c:pt>
                <c:pt idx="571">
                  <c:v>4.2959246595834495</c:v>
                </c:pt>
                <c:pt idx="572">
                  <c:v>4.2379489770641268</c:v>
                </c:pt>
                <c:pt idx="573">
                  <c:v>4.172128998162913</c:v>
                </c:pt>
                <c:pt idx="574">
                  <c:v>4.0985339273221628</c:v>
                </c:pt>
                <c:pt idx="575">
                  <c:v>4.0172471367803393</c:v>
                </c:pt>
                <c:pt idx="576">
                  <c:v>3.9283661043790357</c:v>
                </c:pt>
                <c:pt idx="577">
                  <c:v>3.8320023260480069</c:v>
                </c:pt>
                <c:pt idx="578">
                  <c:v>3.7282812029706172</c:v>
                </c:pt>
                <c:pt idx="579">
                  <c:v>3.6173419034768903</c:v>
                </c:pt>
                <c:pt idx="580">
                  <c:v>3.4993371997563307</c:v>
                </c:pt>
                <c:pt idx="581">
                  <c:v>3.3744332795277709</c:v>
                </c:pt>
                <c:pt idx="582">
                  <c:v>3.2428095328486362</c:v>
                </c:pt>
                <c:pt idx="583">
                  <c:v>3.1046583142910649</c:v>
                </c:pt>
                <c:pt idx="584">
                  <c:v>2.9601846807572589</c:v>
                </c:pt>
                <c:pt idx="585">
                  <c:v>2.8096061052511883</c:v>
                </c:pt>
                <c:pt idx="586">
                  <c:v>2.6531521669681624</c:v>
                </c:pt>
                <c:pt idx="587">
                  <c:v>2.4910642181078968</c:v>
                </c:pt>
                <c:pt idx="588">
                  <c:v>2.3235950278602573</c:v>
                </c:pt>
                <c:pt idx="589">
                  <c:v>2.1510084040559789</c:v>
                </c:pt>
                <c:pt idx="590">
                  <c:v>1.9735787930171198</c:v>
                </c:pt>
                <c:pt idx="591">
                  <c:v>1.7915908581837463</c:v>
                </c:pt>
                <c:pt idx="592">
                  <c:v>1.6053390381344068</c:v>
                </c:pt>
                <c:pt idx="593">
                  <c:v>1.4151270846580788</c:v>
                </c:pt>
                <c:pt idx="594">
                  <c:v>1.2212675815745155</c:v>
                </c:pt>
                <c:pt idx="595">
                  <c:v>1.0240814450381757</c:v>
                </c:pt>
                <c:pt idx="596">
                  <c:v>0.82389740609808326</c:v>
                </c:pt>
                <c:pt idx="597">
                  <c:v>0.62105147632199176</c:v>
                </c:pt>
                <c:pt idx="598">
                  <c:v>0.41588639732806204</c:v>
                </c:pt>
                <c:pt idx="599">
                  <c:v>0.20875107510077309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C-444B-A452-4F7230EAA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849872"/>
        <c:axId val="1193850352"/>
      </c:scatterChart>
      <c:valAx>
        <c:axId val="1193849872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850352"/>
        <c:crosses val="autoZero"/>
        <c:crossBetween val="midCat"/>
      </c:valAx>
      <c:valAx>
        <c:axId val="11938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84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889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Sheet2!$W$2:$W$802</c:f>
              <c:numCache>
                <c:formatCode>General</c:formatCode>
                <c:ptCount val="8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</c:numCache>
            </c:numRef>
          </c:xVal>
          <c:yVal>
            <c:numRef>
              <c:f>Sheet2!$X$2:$X$802</c:f>
              <c:numCache>
                <c:formatCode>General</c:formatCode>
                <c:ptCount val="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-2.9150357524131446E-13</c:v>
                </c:pt>
                <c:pt idx="102">
                  <c:v>-3.47139809111493E-2</c:v>
                </c:pt>
                <c:pt idx="103">
                  <c:v>-6.9575475352875532E-2</c:v>
                </c:pt>
                <c:pt idx="104">
                  <c:v>-0.10452371371137338</c:v>
                </c:pt>
                <c:pt idx="105">
                  <c:v>-0.13949740724025858</c:v>
                </c:pt>
                <c:pt idx="106">
                  <c:v>-0.17443485333428563</c:v>
                </c:pt>
                <c:pt idx="107">
                  <c:v>-0.20927404216827963</c:v>
                </c:pt>
                <c:pt idx="108">
                  <c:v>-0.24395276452121234</c:v>
                </c:pt>
                <c:pt idx="109">
                  <c:v>-0.27840872060180238</c:v>
                </c:pt>
                <c:pt idx="110">
                  <c:v>-0.31257962968920494</c:v>
                </c:pt>
                <c:pt idx="111">
                  <c:v>-0.34640334039984771</c:v>
                </c:pt>
                <c:pt idx="112">
                  <c:v>-0.37981794138905139</c:v>
                </c:pt>
                <c:pt idx="113">
                  <c:v>-0.41276187229432981</c:v>
                </c:pt>
                <c:pt idx="114">
                  <c:v>-0.44517403472561545</c:v>
                </c:pt>
                <c:pt idx="115">
                  <c:v>-0.47699390310632428</c:v>
                </c:pt>
                <c:pt idx="116">
                  <c:v>-0.50816163516840795</c:v>
                </c:pt>
                <c:pt idx="117">
                  <c:v>-0.53861818190381894</c:v>
                </c:pt>
                <c:pt idx="118">
                  <c:v>-0.56830539677466674</c:v>
                </c:pt>
                <c:pt idx="119">
                  <c:v>-0.59716614398450873</c:v>
                </c:pt>
                <c:pt idx="120">
                  <c:v>-0.62514440561353846</c:v>
                </c:pt>
                <c:pt idx="121">
                  <c:v>-0.65218538742141308</c:v>
                </c:pt>
                <c:pt idx="122">
                  <c:v>-0.67823562312257624</c:v>
                </c:pt>
                <c:pt idx="123">
                  <c:v>-0.70324307694042409</c:v>
                </c:pt>
                <c:pt idx="124">
                  <c:v>-0.72715724424859196</c:v>
                </c:pt>
                <c:pt idx="125">
                  <c:v>-0.74992925010987965</c:v>
                </c:pt>
                <c:pt idx="126">
                  <c:v>-0.77151194552581537</c:v>
                </c:pt>
                <c:pt idx="127">
                  <c:v>-0.79186000121294153</c:v>
                </c:pt>
                <c:pt idx="128">
                  <c:v>-0.81092999872499449</c:v>
                </c:pt>
                <c:pt idx="129">
                  <c:v>-0.82868051874389337</c:v>
                </c:pt>
                <c:pt idx="130">
                  <c:v>-0.84507222636634516</c:v>
                </c:pt>
                <c:pt idx="131">
                  <c:v>-0.8600679532171196</c:v>
                </c:pt>
                <c:pt idx="132">
                  <c:v>-0.87363277622468116</c:v>
                </c:pt>
                <c:pt idx="133">
                  <c:v>-0.885734092899779</c:v>
                </c:pt>
                <c:pt idx="134">
                  <c:v>-0.8963416929627841</c:v>
                </c:pt>
                <c:pt idx="135">
                  <c:v>-0.90542782617113204</c:v>
                </c:pt>
                <c:pt idx="136">
                  <c:v>-0.91296726620404989</c:v>
                </c:pt>
                <c:pt idx="137">
                  <c:v>-0.91893737046782531</c:v>
                </c:pt>
                <c:pt idx="138">
                  <c:v>-0.92331813569131838</c:v>
                </c:pt>
                <c:pt idx="139">
                  <c:v>-0.92609224918804012</c:v>
                </c:pt>
                <c:pt idx="140">
                  <c:v>-0.92724513566806033</c:v>
                </c:pt>
                <c:pt idx="141">
                  <c:v>-0.92676499949016622</c:v>
                </c:pt>
                <c:pt idx="142">
                  <c:v>-0.92464286225210368</c:v>
                </c:pt>
                <c:pt idx="143">
                  <c:v>-0.92087259562436929</c:v>
                </c:pt>
                <c:pt idx="144">
                  <c:v>-0.91545094934083904</c:v>
                </c:pt>
                <c:pt idx="145">
                  <c:v>-0.90837757426760546</c:v>
                </c:pt>
                <c:pt idx="146">
                  <c:v>-0.899655040479588</c:v>
                </c:pt>
                <c:pt idx="147">
                  <c:v>-0.88928885028290139</c:v>
                </c:pt>
                <c:pt idx="148">
                  <c:v>-0.8772874461295449</c:v>
                </c:pt>
                <c:pt idx="149">
                  <c:v>-0.86366221337966853</c:v>
                </c:pt>
                <c:pt idx="150">
                  <c:v>-0.84842747787551487</c:v>
                </c:pt>
                <c:pt idx="151">
                  <c:v>-0.83160049830013605</c:v>
                </c:pt>
                <c:pt idx="152">
                  <c:v>-0.81320145330295768</c:v>
                </c:pt>
                <c:pt idx="153">
                  <c:v>-0.79325342338353055</c:v>
                </c:pt>
                <c:pt idx="154">
                  <c:v>-0.77178236753392981</c:v>
                </c:pt>
                <c:pt idx="155">
                  <c:v>-0.74881709464956303</c:v>
                </c:pt>
                <c:pt idx="156">
                  <c:v>-0.72438922972749453</c:v>
                </c:pt>
                <c:pt idx="157">
                  <c:v>-0.69853317488069</c:v>
                </c:pt>
                <c:pt idx="158">
                  <c:v>-0.6712860652059105</c:v>
                </c:pt>
                <c:pt idx="159">
                  <c:v>-0.64268771955237558</c:v>
                </c:pt>
                <c:pt idx="160">
                  <c:v>-0.61278058624758158</c:v>
                </c:pt>
                <c:pt idx="161">
                  <c:v>-0.5816096838458461</c:v>
                </c:pt>
                <c:pt idx="162">
                  <c:v>-0.5492225369745426</c:v>
                </c:pt>
                <c:pt idx="163">
                  <c:v>-0.51566910736186544</c:v>
                </c:pt>
                <c:pt idx="164">
                  <c:v>-0.48100172013919851</c:v>
                </c:pt>
                <c:pt idx="165">
                  <c:v>-0.44527498551996725</c:v>
                </c:pt>
                <c:pt idx="166">
                  <c:v>-0.40854571596563971</c:v>
                </c:pt>
                <c:pt idx="167">
                  <c:v>-0.37087283895827533</c:v>
                </c:pt>
                <c:pt idx="168">
                  <c:v>-0.33231730550744765</c:v>
                </c:pt>
                <c:pt idx="169">
                  <c:v>-0.29294199452760877</c:v>
                </c:pt>
                <c:pt idx="170">
                  <c:v>-0.25281161323029</c:v>
                </c:pt>
                <c:pt idx="171">
                  <c:v>-0.2119925936832488</c:v>
                </c:pt>
                <c:pt idx="172">
                  <c:v>-0.17055298569643021</c:v>
                </c:pt>
                <c:pt idx="173">
                  <c:v>-0.12856234620214416</c:v>
                </c:pt>
                <c:pt idx="174">
                  <c:v>-8.6091625303975003E-2</c:v>
                </c:pt>
                <c:pt idx="175">
                  <c:v>-4.3213049175874797E-2</c:v>
                </c:pt>
                <c:pt idx="176">
                  <c:v>2.9506307805177055E-13</c:v>
                </c:pt>
                <c:pt idx="177">
                  <c:v>4.3473106864412664E-2</c:v>
                </c:pt>
                <c:pt idx="178">
                  <c:v>8.7130948274182607E-2</c:v>
                </c:pt>
                <c:pt idx="179">
                  <c:v>0.13089742106141722</c:v>
                </c:pt>
                <c:pt idx="180">
                  <c:v>0.17469577193677258</c:v>
                </c:pt>
                <c:pt idx="181">
                  <c:v>0.21844872932605153</c:v>
                </c:pt>
                <c:pt idx="182">
                  <c:v>0.26207863691656036</c:v>
                </c:pt>
                <c:pt idx="183">
                  <c:v>0.30550758868764899</c:v>
                </c:pt>
                <c:pt idx="184">
                  <c:v>0.34865756519548158</c:v>
                </c:pt>
                <c:pt idx="185">
                  <c:v>0.39145057087856361</c:v>
                </c:pt>
                <c:pt idx="186">
                  <c:v>0.43380877214740782</c:v>
                </c:pt>
                <c:pt idx="187">
                  <c:v>0.47565463601867197</c:v>
                </c:pt>
                <c:pt idx="188">
                  <c:v>0.51691106905200856</c:v>
                </c:pt>
                <c:pt idx="189">
                  <c:v>0.55750155634560916</c:v>
                </c:pt>
                <c:pt idx="190">
                  <c:v>0.59735030034500736</c:v>
                </c:pt>
                <c:pt idx="191">
                  <c:v>0.63638235921853759</c:v>
                </c:pt>
                <c:pt idx="192">
                  <c:v>0.67452378455205042</c:v>
                </c:pt>
                <c:pt idx="193">
                  <c:v>0.7117017581152868</c:v>
                </c:pt>
                <c:pt idx="194">
                  <c:v>0.74784472745244446</c:v>
                </c:pt>
                <c:pt idx="195">
                  <c:v>0.78288254005003954</c:v>
                </c:pt>
                <c:pt idx="196">
                  <c:v>0.81674657583617383</c:v>
                </c:pt>
                <c:pt idx="197">
                  <c:v>0.84936987776689732</c:v>
                </c:pt>
                <c:pt idx="198">
                  <c:v>0.88068728025710663</c:v>
                </c:pt>
                <c:pt idx="199">
                  <c:v>0.91063553521594276</c:v>
                </c:pt>
                <c:pt idx="200">
                  <c:v>0.93915343544928531</c:v>
                </c:pt>
                <c:pt idx="201">
                  <c:v>0.96618193519531648</c:v>
                </c:pt>
                <c:pt idx="202">
                  <c:v>0.99166426756264414</c:v>
                </c:pt>
                <c:pt idx="203">
                  <c:v>1.0155460586447114</c:v>
                </c:pt>
                <c:pt idx="204">
                  <c:v>1.0377754380886013</c:v>
                </c:pt>
                <c:pt idx="205">
                  <c:v>1.0583031459013774</c:v>
                </c:pt>
                <c:pt idx="206">
                  <c:v>1.0770826352824119</c:v>
                </c:pt>
                <c:pt idx="207">
                  <c:v>1.0940701712759062</c:v>
                </c:pt>
                <c:pt idx="208">
                  <c:v>1.1092249250439663</c:v>
                </c:pt>
                <c:pt idx="209">
                  <c:v>1.1225090635671482</c:v>
                </c:pt>
                <c:pt idx="210">
                  <c:v>1.1338878345863106</c:v>
                </c:pt>
                <c:pt idx="211">
                  <c:v>1.1433296466069029</c:v>
                </c:pt>
                <c:pt idx="212">
                  <c:v>1.1508061437944661</c:v>
                </c:pt>
                <c:pt idx="213">
                  <c:v>1.1562922755981531</c:v>
                </c:pt>
                <c:pt idx="214">
                  <c:v>1.1597663609473954</c:v>
                </c:pt>
                <c:pt idx="215">
                  <c:v>1.1612101468755185</c:v>
                </c:pt>
                <c:pt idx="216">
                  <c:v>1.160608861433079</c:v>
                </c:pt>
                <c:pt idx="217">
                  <c:v>1.1579512607629803</c:v>
                </c:pt>
                <c:pt idx="218">
                  <c:v>1.1532296702189717</c:v>
                </c:pt>
                <c:pt idx="219">
                  <c:v>1.1464400194189532</c:v>
                </c:pt>
                <c:pt idx="220">
                  <c:v>1.1375818711346006</c:v>
                </c:pt>
                <c:pt idx="221">
                  <c:v>1.1266584439291185</c:v>
                </c:pt>
                <c:pt idx="222">
                  <c:v>1.1136766284654447</c:v>
                </c:pt>
                <c:pt idx="223">
                  <c:v>1.0986469974180015</c:v>
                </c:pt>
                <c:pt idx="224">
                  <c:v>1.0815838089319314</c:v>
                </c:pt>
                <c:pt idx="225">
                  <c:v>1.0625050035849122</c:v>
                </c:pt>
                <c:pt idx="226">
                  <c:v>1.0414321948177701</c:v>
                </c:pt>
                <c:pt idx="227">
                  <c:v>1.0183906528115705</c:v>
                </c:pt>
                <c:pt idx="228">
                  <c:v>0.99340928180020249</c:v>
                </c:pt>
                <c:pt idx="229">
                  <c:v>0.96652059081912389</c:v>
                </c:pt>
                <c:pt idx="230">
                  <c:v>0.93776065790248642</c:v>
                </c:pt>
                <c:pt idx="231">
                  <c:v>0.90716908775251925</c:v>
                </c:pt>
                <c:pt idx="232">
                  <c:v>0.87478896291676578</c:v>
                </c:pt>
                <c:pt idx="233">
                  <c:v>0.84066678852046806</c:v>
                </c:pt>
                <c:pt idx="234">
                  <c:v>0.80485243061304534</c:v>
                </c:pt>
                <c:pt idx="235">
                  <c:v>0.76739904819927618</c:v>
                </c:pt>
                <c:pt idx="236">
                  <c:v>0.72836301903738931</c:v>
                </c:pt>
                <c:pt idx="237">
                  <c:v>0.68780385929781251</c:v>
                </c:pt>
                <c:pt idx="238">
                  <c:v>0.64578413718771066</c:v>
                </c:pt>
                <c:pt idx="239">
                  <c:v>0.60236938065775136</c:v>
                </c:pt>
                <c:pt idx="240">
                  <c:v>0.55762797931873165</c:v>
                </c:pt>
                <c:pt idx="241">
                  <c:v>0.51163108070671104</c:v>
                </c:pt>
                <c:pt idx="242">
                  <c:v>0.46445248104609232</c:v>
                </c:pt>
                <c:pt idx="243">
                  <c:v>0.41616851067072735</c:v>
                </c:pt>
                <c:pt idx="244">
                  <c:v>0.36685791427355763</c:v>
                </c:pt>
                <c:pt idx="245">
                  <c:v>0.31660172616548576</c:v>
                </c:pt>
                <c:pt idx="246">
                  <c:v>0.26548314073404755</c:v>
                </c:pt>
                <c:pt idx="247">
                  <c:v>0.21358737830206556</c:v>
                </c:pt>
                <c:pt idx="248">
                  <c:v>0.16100154659595339</c:v>
                </c:pt>
                <c:pt idx="249">
                  <c:v>0.10781449804212796</c:v>
                </c:pt>
                <c:pt idx="250">
                  <c:v>5.4116683118955788E-2</c:v>
                </c:pt>
                <c:pt idx="251">
                  <c:v>-2.8185978154254769E-13</c:v>
                </c:pt>
                <c:pt idx="252">
                  <c:v>-5.4442359269652359E-2</c:v>
                </c:pt>
                <c:pt idx="253">
                  <c:v>-0.10911606580700881</c:v>
                </c:pt>
                <c:pt idx="254">
                  <c:v>-0.16392581388605562</c:v>
                </c:pt>
                <c:pt idx="255">
                  <c:v>-0.21877548361900956</c:v>
                </c:pt>
                <c:pt idx="256">
                  <c:v>-0.27356830605817389</c:v>
                </c:pt>
                <c:pt idx="257">
                  <c:v>-0.32820703043912031</c:v>
                </c:pt>
                <c:pt idx="258">
                  <c:v>-0.38259409328246041</c:v>
                </c:pt>
                <c:pt idx="259">
                  <c:v>-0.43663178906636063</c:v>
                </c:pt>
                <c:pt idx="260">
                  <c:v>-0.49022244217741262</c:v>
                </c:pt>
                <c:pt idx="261">
                  <c:v>-0.54326857984340982</c:v>
                </c:pt>
                <c:pt idx="262">
                  <c:v>-0.59567310574807197</c:v>
                </c:pt>
                <c:pt idx="263">
                  <c:v>-0.6473394740247731</c:v>
                </c:pt>
                <c:pt idx="264">
                  <c:v>-0.69817186332384362</c:v>
                </c:pt>
                <c:pt idx="265">
                  <c:v>-0.74807535064600561</c:v>
                </c:pt>
                <c:pt idx="266">
                  <c:v>-0.79695608463307166</c:v>
                </c:pt>
                <c:pt idx="267">
                  <c:v>-0.84472145800616738</c:v>
                </c:pt>
                <c:pt idx="268">
                  <c:v>-0.89128027884138705</c:v>
                </c:pt>
                <c:pt idx="269">
                  <c:v>-0.93654294037293784</c:v>
                </c:pt>
                <c:pt idx="270">
                  <c:v>-0.98042158901458187</c:v>
                </c:pt>
                <c:pt idx="271">
                  <c:v>-1.0228302902914976</c:v>
                </c:pt>
                <c:pt idx="272">
                  <c:v>-1.063685192376528</c:v>
                </c:pt>
                <c:pt idx="273">
                  <c:v>-1.1029046869271435</c:v>
                </c:pt>
                <c:pt idx="274">
                  <c:v>-1.1404095669224024</c:v>
                </c:pt>
                <c:pt idx="275">
                  <c:v>-1.1761231812027138</c:v>
                </c:pt>
                <c:pt idx="276">
                  <c:v>-1.2099715854192574</c:v>
                </c:pt>
                <c:pt idx="277">
                  <c:v>-1.2418836891044165</c:v>
                </c:pt>
                <c:pt idx="278">
                  <c:v>-1.2717913985798428</c:v>
                </c:pt>
                <c:pt idx="279">
                  <c:v>-1.2996297554242757</c:v>
                </c:pt>
                <c:pt idx="280">
                  <c:v>-1.3253370702295679</c:v>
                </c:pt>
                <c:pt idx="281">
                  <c:v>-1.3488550513799251</c:v>
                </c:pt>
                <c:pt idx="282">
                  <c:v>-1.3701289285967098</c:v>
                </c:pt>
                <c:pt idx="283">
                  <c:v>-1.3891075709987484</c:v>
                </c:pt>
                <c:pt idx="284">
                  <c:v>-1.4057435994363721</c:v>
                </c:pt>
                <c:pt idx="285">
                  <c:v>-1.4199934928660189</c:v>
                </c:pt>
                <c:pt idx="286">
                  <c:v>-1.431817688541424</c:v>
                </c:pt>
                <c:pt idx="287">
                  <c:v>-1.4411806758069581</c:v>
                </c:pt>
                <c:pt idx="288">
                  <c:v>-1.4480510832887421</c:v>
                </c:pt>
                <c:pt idx="289">
                  <c:v>-1.4524017592895915</c:v>
                </c:pt>
                <c:pt idx="290">
                  <c:v>-1.4542098452047023</c:v>
                </c:pt>
                <c:pt idx="291">
                  <c:v>-1.4534568417862239</c:v>
                </c:pt>
                <c:pt idx="292">
                  <c:v>-1.4501286680964971</c:v>
                </c:pt>
                <c:pt idx="293">
                  <c:v>-1.4442157130016824</c:v>
                </c:pt>
                <c:pt idx="294">
                  <c:v>-1.435712879069813</c:v>
                </c:pt>
                <c:pt idx="295">
                  <c:v>-1.4246196187499265</c:v>
                </c:pt>
                <c:pt idx="296">
                  <c:v>-1.4109399627218357</c:v>
                </c:pt>
                <c:pt idx="297">
                  <c:v>-1.394682540319272</c:v>
                </c:pt>
                <c:pt idx="298">
                  <c:v>-1.3758605919425804</c:v>
                </c:pt>
                <c:pt idx="299">
                  <c:v>-1.3544919733908154</c:v>
                </c:pt>
                <c:pt idx="300">
                  <c:v>-1.330599152056942</c:v>
                </c:pt>
                <c:pt idx="301">
                  <c:v>-1.3042091949438894</c:v>
                </c:pt>
                <c:pt idx="302">
                  <c:v>-1.2753537484734379</c:v>
                </c:pt>
                <c:pt idx="303">
                  <c:v>-1.2440690100742879</c:v>
                </c:pt>
                <c:pt idx="304">
                  <c:v>-1.2103956915500236</c:v>
                </c:pt>
                <c:pt idx="305">
                  <c:v>-1.1743789742423718</c:v>
                </c:pt>
                <c:pt idx="306">
                  <c:v>-1.1360684560195908</c:v>
                </c:pt>
                <c:pt idx="307">
                  <c:v>-1.0955180901346522</c:v>
                </c:pt>
                <c:pt idx="308">
                  <c:v>-1.0527861160123109</c:v>
                </c:pt>
                <c:pt idx="309">
                  <c:v>-1.0079349820390273</c:v>
                </c:pt>
                <c:pt idx="310">
                  <c:v>-0.9610312604440423</c:v>
                </c:pt>
                <c:pt idx="311">
                  <c:v>-0.91214555437468636</c:v>
                </c:pt>
                <c:pt idx="312">
                  <c:v>-0.8613523972831626</c:v>
                </c:pt>
                <c:pt idx="313">
                  <c:v>-0.80873014475661975</c:v>
                </c:pt>
                <c:pt idx="314">
                  <c:v>-0.75436085893621529</c:v>
                </c:pt>
                <c:pt idx="315">
                  <c:v>-0.69833018568510175</c:v>
                </c:pt>
                <c:pt idx="316">
                  <c:v>-0.64072722467889665</c:v>
                </c:pt>
                <c:pt idx="317">
                  <c:v>-0.58164439260578937</c:v>
                </c:pt>
                <c:pt idx="318">
                  <c:v>-0.52117727967678673</c:v>
                </c:pt>
                <c:pt idx="319">
                  <c:v>-0.45942449965963916</c:v>
                </c:pt>
                <c:pt idx="320">
                  <c:v>-0.39648753366269385</c:v>
                </c:pt>
                <c:pt idx="321">
                  <c:v>-0.33247056790730534</c:v>
                </c:pt>
                <c:pt idx="322">
                  <c:v>-0.26748032573964492</c:v>
                </c:pt>
                <c:pt idx="323">
                  <c:v>-0.20162589414423662</c:v>
                </c:pt>
                <c:pt idx="324">
                  <c:v>-0.13501854503308539</c:v>
                </c:pt>
                <c:pt idx="325">
                  <c:v>-6.7771551594931284E-2</c:v>
                </c:pt>
                <c:pt idx="326">
                  <c:v>2.4609128677049127E-13</c:v>
                </c:pt>
                <c:pt idx="327">
                  <c:v>6.817940323635982E-2</c:v>
                </c:pt>
                <c:pt idx="328">
                  <c:v>0.13664852791149568</c:v>
                </c:pt>
                <c:pt idx="329">
                  <c:v>0.20528802049963921</c:v>
                </c:pt>
                <c:pt idx="330">
                  <c:v>0.27397750788183889</c:v>
                </c:pt>
                <c:pt idx="331">
                  <c:v>0.34259580410667473</c:v>
                </c:pt>
                <c:pt idx="332">
                  <c:v>0.41102111983268058</c:v>
                </c:pt>
                <c:pt idx="333">
                  <c:v>0.47913127409834749</c:v>
                </c:pt>
                <c:pt idx="334">
                  <c:v>0.54680390805919199</c:v>
                </c:pt>
                <c:pt idx="335">
                  <c:v>0.61391670032572443</c:v>
                </c:pt>
                <c:pt idx="336">
                  <c:v>0.68034758353109481</c:v>
                </c:pt>
                <c:pt idx="337">
                  <c:v>0.74597496175276667</c:v>
                </c:pt>
                <c:pt idx="338">
                  <c:v>0.8106779284088157</c:v>
                </c:pt>
                <c:pt idx="339">
                  <c:v>0.87433648424635435</c:v>
                </c:pt>
                <c:pt idx="340">
                  <c:v>0.93683175503709271</c:v>
                </c:pt>
                <c:pt idx="341">
                  <c:v>0.99804620859322657</c:v>
                </c:pt>
                <c:pt idx="342">
                  <c:v>1.0578638707157426</c:v>
                </c:pt>
                <c:pt idx="343">
                  <c:v>1.1161705396867976</c:v>
                </c:pt>
                <c:pt idx="344">
                  <c:v>1.1728539989180671</c:v>
                </c:pt>
                <c:pt idx="345">
                  <c:v>1.2278042273678</c:v>
                </c:pt>
                <c:pt idx="346">
                  <c:v>1.2809136073410796</c:v>
                </c:pt>
                <c:pt idx="347">
                  <c:v>1.3320771292899607</c:v>
                </c:pt>
                <c:pt idx="348">
                  <c:v>1.3811925932332643</c:v>
                </c:pt>
                <c:pt idx="349">
                  <c:v>1.4281608064193785</c:v>
                </c:pt>
                <c:pt idx="350">
                  <c:v>1.4728857768599306</c:v>
                </c:pt>
                <c:pt idx="351">
                  <c:v>1.5152749023671566</c:v>
                </c:pt>
                <c:pt idx="352">
                  <c:v>1.5552391547335567</c:v>
                </c:pt>
                <c:pt idx="353">
                  <c:v>1.592693258698902</c:v>
                </c:pt>
                <c:pt idx="354">
                  <c:v>1.6275558653566446</c:v>
                </c:pt>
                <c:pt idx="355">
                  <c:v>1.659749719659612</c:v>
                </c:pt>
                <c:pt idx="356">
                  <c:v>1.6892018216931814</c:v>
                </c:pt>
                <c:pt idx="357">
                  <c:v>1.7158435813932411</c:v>
                </c:pt>
                <c:pt idx="358">
                  <c:v>1.7396109663958004</c:v>
                </c:pt>
                <c:pt idx="359">
                  <c:v>1.760444642715455</c:v>
                </c:pt>
                <c:pt idx="360">
                  <c:v>1.7782901079607205</c:v>
                </c:pt>
                <c:pt idx="361">
                  <c:v>1.7930978168057328</c:v>
                </c:pt>
                <c:pt idx="362">
                  <c:v>1.8048232984497805</c:v>
                </c:pt>
                <c:pt idx="363">
                  <c:v>1.8134272658087174</c:v>
                </c:pt>
                <c:pt idx="364">
                  <c:v>1.8188757161953775</c:v>
                </c:pt>
                <c:pt idx="365">
                  <c:v>1.8211400232597026</c:v>
                </c:pt>
                <c:pt idx="366">
                  <c:v>1.8201970199733768</c:v>
                </c:pt>
                <c:pt idx="367">
                  <c:v>1.816029072458305</c:v>
                </c:pt>
                <c:pt idx="368">
                  <c:v>1.8086241444732509</c:v>
                </c:pt>
                <c:pt idx="369">
                  <c:v>1.7979758523883684</c:v>
                </c:pt>
                <c:pt idx="370">
                  <c:v>1.7840835104931505</c:v>
                </c:pt>
                <c:pt idx="371">
                  <c:v>1.7669521664994867</c:v>
                </c:pt>
                <c:pt idx="372">
                  <c:v>1.7465926271180348</c:v>
                </c:pt>
                <c:pt idx="373">
                  <c:v>1.7230214736029168</c:v>
                </c:pt>
                <c:pt idx="374">
                  <c:v>1.6962610671769092</c:v>
                </c:pt>
                <c:pt idx="375">
                  <c:v>1.6663395442665907</c:v>
                </c:pt>
                <c:pt idx="376">
                  <c:v>1.6332908014945908</c:v>
                </c:pt>
                <c:pt idx="377">
                  <c:v>1.5971544703937921</c:v>
                </c:pt>
                <c:pt idx="378">
                  <c:v>1.5579758818264202</c:v>
                </c:pt>
                <c:pt idx="379">
                  <c:v>1.5158060201089285</c:v>
                </c:pt>
                <c:pt idx="380">
                  <c:v>1.4707014668618954</c:v>
                </c:pt>
                <c:pt idx="381">
                  <c:v>1.4227243346224314</c:v>
                </c:pt>
                <c:pt idx="382">
                  <c:v>1.371942190274833</c:v>
                </c:pt>
                <c:pt idx="383">
                  <c:v>1.3184279683737115</c:v>
                </c:pt>
                <c:pt idx="384">
                  <c:v>1.2622598744520031</c:v>
                </c:pt>
                <c:pt idx="385">
                  <c:v>1.2035212784246707</c:v>
                </c:pt>
                <c:pt idx="386">
                  <c:v>1.1423005982169419</c:v>
                </c:pt>
                <c:pt idx="387">
                  <c:v>1.0786911737641314</c:v>
                </c:pt>
                <c:pt idx="388">
                  <c:v>1.012791131547955</c:v>
                </c:pt>
                <c:pt idx="389">
                  <c:v>0.94470323985193461</c:v>
                </c:pt>
                <c:pt idx="390">
                  <c:v>0.87453475493605048</c:v>
                </c:pt>
                <c:pt idx="391">
                  <c:v>0.80239725834807207</c:v>
                </c:pt>
                <c:pt idx="392">
                  <c:v>0.72840648560596699</c:v>
                </c:pt>
                <c:pt idx="393">
                  <c:v>0.6526821465024375</c:v>
                </c:pt>
                <c:pt idx="394">
                  <c:v>0.57534773729897382</c:v>
                </c:pt>
                <c:pt idx="395">
                  <c:v>0.49653034509280625</c:v>
                </c:pt>
                <c:pt idx="396">
                  <c:v>0.4163604446556588</c:v>
                </c:pt>
                <c:pt idx="397">
                  <c:v>0.33497168805828909</c:v>
                </c:pt>
                <c:pt idx="398">
                  <c:v>0.25250068740945769</c:v>
                </c:pt>
                <c:pt idx="399">
                  <c:v>0.16908679105224236</c:v>
                </c:pt>
                <c:pt idx="400">
                  <c:v>8.4871853574030751E-2</c:v>
                </c:pt>
                <c:pt idx="401">
                  <c:v>-1.7071622338750767E-13</c:v>
                </c:pt>
                <c:pt idx="402">
                  <c:v>-8.5382615449160343E-2</c:v>
                </c:pt>
                <c:pt idx="403">
                  <c:v>-0.17112805563760541</c:v>
                </c:pt>
                <c:pt idx="404">
                  <c:v>-0.25708685143362775</c:v>
                </c:pt>
                <c:pt idx="405">
                  <c:v>-0.34310825684592361</c:v>
                </c:pt>
                <c:pt idx="406">
                  <c:v>-0.42904050795466814</c:v>
                </c:pt>
                <c:pt idx="407">
                  <c:v>-0.51473108520094979</c:v>
                </c:pt>
                <c:pt idx="408">
                  <c:v>-0.60002697859117404</c:v>
                </c:pt>
                <c:pt idx="409">
                  <c:v>-0.68477495536487754</c:v>
                </c:pt>
                <c:pt idx="410">
                  <c:v>-0.76882182966732271</c:v>
                </c:pt>
                <c:pt idx="411">
                  <c:v>-0.85201473376210157</c:v>
                </c:pt>
                <c:pt idx="412">
                  <c:v>-0.93420139031321525</c:v>
                </c:pt>
                <c:pt idx="413">
                  <c:v>-1.015230385261592</c:v>
                </c:pt>
                <c:pt idx="414">
                  <c:v>-1.0949514408169121</c:v>
                </c:pt>
                <c:pt idx="415">
                  <c:v>-1.1732156880827178</c:v>
                </c:pt>
                <c:pt idx="416">
                  <c:v>-1.2498759388303391</c:v>
                </c:pt>
                <c:pt idx="417">
                  <c:v>-1.3247869559358587</c:v>
                </c:pt>
                <c:pt idx="418">
                  <c:v>-1.397805721993796</c:v>
                </c:pt>
                <c:pt idx="419">
                  <c:v>-1.4687917056214512</c:v>
                </c:pt>
                <c:pt idx="420">
                  <c:v>-1.5376071249689873</c:v>
                </c:pt>
                <c:pt idx="421">
                  <c:v>-1.6041172079523947</c:v>
                </c:pt>
                <c:pt idx="422">
                  <c:v>-1.6681904487293659</c:v>
                </c:pt>
                <c:pt idx="423">
                  <c:v>-1.7296988599418692</c:v>
                </c:pt>
                <c:pt idx="424">
                  <c:v>-1.788518220253787</c:v>
                </c:pt>
                <c:pt idx="425">
                  <c:v>-1.8445283167175084</c:v>
                </c:pt>
                <c:pt idx="426">
                  <c:v>-1.8976131815097164</c:v>
                </c:pt>
                <c:pt idx="427">
                  <c:v>-1.9476613225837887</c:v>
                </c:pt>
                <c:pt idx="428">
                  <c:v>-1.9945659477942073</c:v>
                </c:pt>
                <c:pt idx="429">
                  <c:v>-2.0382251820573685</c:v>
                </c:pt>
                <c:pt idx="430">
                  <c:v>-2.078542277122748</c:v>
                </c:pt>
                <c:pt idx="431">
                  <c:v>-2.1154258135389936</c:v>
                </c:pt>
                <c:pt idx="432">
                  <c:v>-2.1487898944107093</c:v>
                </c:pt>
                <c:pt idx="433">
                  <c:v>-2.1785543305538977</c:v>
                </c:pt>
                <c:pt idx="434">
                  <c:v>-2.2046448166707959</c:v>
                </c:pt>
                <c:pt idx="435">
                  <c:v>-2.2269930981784603</c:v>
                </c:pt>
                <c:pt idx="436">
                  <c:v>-2.2455371283398304</c:v>
                </c:pt>
                <c:pt idx="437">
                  <c:v>-2.2602212153609686</c:v>
                </c:pt>
                <c:pt idx="438">
                  <c:v>-2.2709961591339454</c:v>
                </c:pt>
                <c:pt idx="439">
                  <c:v>-2.2778193773212099</c:v>
                </c:pt>
                <c:pt idx="440">
                  <c:v>-2.2806550204943039</c:v>
                </c:pt>
                <c:pt idx="441">
                  <c:v>-2.2794740760574017</c:v>
                </c:pt>
                <c:pt idx="442">
                  <c:v>-2.2742544607043884</c:v>
                </c:pt>
                <c:pt idx="443">
                  <c:v>-2.2649811011769461</c:v>
                </c:pt>
                <c:pt idx="444">
                  <c:v>-2.2516460031104089</c:v>
                </c:pt>
                <c:pt idx="445">
                  <c:v>-2.2342483077739304</c:v>
                </c:pt>
                <c:pt idx="446">
                  <c:v>-2.2127943365317746</c:v>
                </c:pt>
                <c:pt idx="447">
                  <c:v>-2.1872976228731855</c:v>
                </c:pt>
                <c:pt idx="448">
                  <c:v>-2.1577789318793625</c:v>
                </c:pt>
                <c:pt idx="449">
                  <c:v>-2.1242662670175547</c:v>
                </c:pt>
                <c:pt idx="450">
                  <c:v>-2.086794864173914</c:v>
                </c:pt>
                <c:pt idx="451">
                  <c:v>-2.0454071728589627</c:v>
                </c:pt>
                <c:pt idx="452">
                  <c:v>-2.0001528245416087</c:v>
                </c:pt>
                <c:pt idx="453">
                  <c:v>-1.9510885880903599</c:v>
                </c:pt>
                <c:pt idx="454">
                  <c:v>-1.8982783123228786</c:v>
                </c:pt>
                <c:pt idx="455">
                  <c:v>-1.8417928556879426</c:v>
                </c:pt>
                <c:pt idx="456">
                  <c:v>-1.7817100031267261</c:v>
                </c:pt>
                <c:pt idx="457">
                  <c:v>-1.7181143701833002</c:v>
                </c:pt>
                <c:pt idx="458">
                  <c:v>-1.6510972944571958</c:v>
                </c:pt>
                <c:pt idx="459">
                  <c:v>-1.5807567145138504</c:v>
                </c:pt>
                <c:pt idx="460">
                  <c:v>-1.5071970363916101</c:v>
                </c:pt>
                <c:pt idx="461">
                  <c:v>-1.4305289878667546</c:v>
                </c:pt>
                <c:pt idx="462">
                  <c:v>-1.3508694606606149</c:v>
                </c:pt>
                <c:pt idx="463">
                  <c:v>-1.2683413407953021</c:v>
                </c:pt>
                <c:pt idx="464">
                  <c:v>-1.1830733273267688</c:v>
                </c:pt>
                <c:pt idx="465">
                  <c:v>-1.0951997397058413</c:v>
                </c:pt>
                <c:pt idx="466">
                  <c:v>-1.0048603140395063</c:v>
                </c:pt>
                <c:pt idx="467">
                  <c:v>-0.91219998854598616</c:v>
                </c:pt>
                <c:pt idx="468">
                  <c:v>-0.81736867851802375</c:v>
                </c:pt>
                <c:pt idx="469">
                  <c:v>-0.72052104112924775</c:v>
                </c:pt>
                <c:pt idx="470">
                  <c:v>-0.62181623043846779</c:v>
                </c:pt>
                <c:pt idx="471">
                  <c:v>-0.5214176429661902</c:v>
                </c:pt>
                <c:pt idx="472">
                  <c:v>-0.41949265423669624</c:v>
                </c:pt>
                <c:pt idx="473">
                  <c:v>-0.31621234669708825</c:v>
                </c:pt>
                <c:pt idx="474">
                  <c:v>-0.21175122944287991</c:v>
                </c:pt>
                <c:pt idx="475">
                  <c:v>-0.10628695019623936</c:v>
                </c:pt>
                <c:pt idx="476">
                  <c:v>4.1635645356205934E-14</c:v>
                </c:pt>
                <c:pt idx="477">
                  <c:v>0.10692658889468942</c:v>
                </c:pt>
                <c:pt idx="478">
                  <c:v>0.2143075514525449</c:v>
                </c:pt>
                <c:pt idx="479">
                  <c:v>0.32195570408439661</c:v>
                </c:pt>
                <c:pt idx="480">
                  <c:v>0.42968226416096894</c:v>
                </c:pt>
                <c:pt idx="481">
                  <c:v>0.53729717427795376</c:v>
                </c:pt>
                <c:pt idx="482">
                  <c:v>0.64460943072706678</c:v>
                </c:pt>
                <c:pt idx="483">
                  <c:v>0.75142741561752902</c:v>
                </c:pt>
                <c:pt idx="484">
                  <c:v>0.85755923208253548</c:v>
                </c:pt>
                <c:pt idx="485">
                  <c:v>0.96281304199641138</c:v>
                </c:pt>
                <c:pt idx="486">
                  <c:v>1.066997405620276</c:v>
                </c:pt>
                <c:pt idx="487">
                  <c:v>1.169921622587101</c:v>
                </c:pt>
                <c:pt idx="488">
                  <c:v>1.2713960736311474</c:v>
                </c:pt>
                <c:pt idx="489">
                  <c:v>1.3712325624618709</c:v>
                </c:pt>
                <c:pt idx="490">
                  <c:v>1.4692446571785038</c:v>
                </c:pt>
                <c:pt idx="491">
                  <c:v>1.5652480306187171</c:v>
                </c:pt>
                <c:pt idx="492">
                  <c:v>1.6590607990329966</c:v>
                </c:pt>
                <c:pt idx="493">
                  <c:v>1.7505038584756549</c:v>
                </c:pt>
                <c:pt idx="494">
                  <c:v>1.8394012183037989</c:v>
                </c:pt>
                <c:pt idx="495">
                  <c:v>1.9255803311769923</c:v>
                </c:pt>
                <c:pt idx="496">
                  <c:v>2.0088724189529201</c:v>
                </c:pt>
                <c:pt idx="497">
                  <c:v>2.0891127938779577</c:v>
                </c:pt>
                <c:pt idx="498">
                  <c:v>2.1661411744762544</c:v>
                </c:pt>
                <c:pt idx="499">
                  <c:v>2.2398019955467454</c:v>
                </c:pt>
                <c:pt idx="500">
                  <c:v>2.3099447116843672</c:v>
                </c:pt>
                <c:pt idx="501">
                  <c:v>2.3764240937496286</c:v>
                </c:pt>
                <c:pt idx="502">
                  <c:v>2.439100517719873</c:v>
                </c:pt>
                <c:pt idx="503">
                  <c:v>2.497840245365353</c:v>
                </c:pt>
                <c:pt idx="504">
                  <c:v>2.5525156962046567</c:v>
                </c:pt>
                <c:pt idx="505">
                  <c:v>2.6030057102059092</c:v>
                </c:pt>
                <c:pt idx="506">
                  <c:v>2.6491958007134713</c:v>
                </c:pt>
                <c:pt idx="507">
                  <c:v>2.6909783970939904</c:v>
                </c:pt>
                <c:pt idx="508">
                  <c:v>2.7282530766107551</c:v>
                </c:pt>
                <c:pt idx="509">
                  <c:v>2.7609267850514421</c:v>
                </c:pt>
                <c:pt idx="510">
                  <c:v>2.7889140456513486</c:v>
                </c:pt>
                <c:pt idx="511">
                  <c:v>2.8121371558721866</c:v>
                </c:pt>
                <c:pt idx="512">
                  <c:v>2.8305263716153033</c:v>
                </c:pt>
                <c:pt idx="513">
                  <c:v>2.8440200784678984</c:v>
                </c:pt>
                <c:pt idx="514">
                  <c:v>2.8525649496013505</c:v>
                </c:pt>
                <c:pt idx="515">
                  <c:v>2.8561160899620375</c:v>
                </c:pt>
                <c:pt idx="516">
                  <c:v>2.8546371664171506</c:v>
                </c:pt>
                <c:pt idx="517">
                  <c:v>2.8481005235407948</c:v>
                </c:pt>
                <c:pt idx="518">
                  <c:v>2.8364872847491713</c:v>
                </c:pt>
                <c:pt idx="519">
                  <c:v>2.819787438517805</c:v>
                </c:pt>
                <c:pt idx="520">
                  <c:v>2.7979999094385533</c:v>
                </c:pt>
                <c:pt idx="521">
                  <c:v>2.7711326138994821</c:v>
                </c:pt>
                <c:pt idx="522">
                  <c:v>2.7392025001965954</c:v>
                </c:pt>
                <c:pt idx="523">
                  <c:v>2.7022355729127887</c:v>
                </c:pt>
                <c:pt idx="524">
                  <c:v>2.6602669014262239</c:v>
                </c:pt>
                <c:pt idx="525">
                  <c:v>2.6133406124375647</c:v>
                </c:pt>
                <c:pt idx="526">
                  <c:v>2.5615098664331164</c:v>
                </c:pt>
                <c:pt idx="527">
                  <c:v>2.5048368180288367</c:v>
                </c:pt>
                <c:pt idx="528">
                  <c:v>2.4433925601683328</c:v>
                </c:pt>
                <c:pt idx="529">
                  <c:v>2.3772570521763638</c:v>
                </c:pt>
                <c:pt idx="530">
                  <c:v>2.3065190316979658</c:v>
                </c:pt>
                <c:pt idx="531">
                  <c:v>2.2312759105819508</c:v>
                </c:pt>
                <c:pt idx="532">
                  <c:v>2.1516336547962993</c:v>
                </c:pt>
                <c:pt idx="533">
                  <c:v>2.0677066484917526</c:v>
                </c:pt>
                <c:pt idx="534">
                  <c:v>1.9796175423585929</c:v>
                </c:pt>
                <c:pt idx="535">
                  <c:v>1.8874970864503515</c:v>
                </c:pt>
                <c:pt idx="536">
                  <c:v>1.791483947676574</c:v>
                </c:pt>
                <c:pt idx="537">
                  <c:v>1.6917245121952242</c:v>
                </c:pt>
                <c:pt idx="538">
                  <c:v>1.588372672963289</c:v>
                </c:pt>
                <c:pt idx="539">
                  <c:v>1.4815896027320912</c:v>
                </c:pt>
                <c:pt idx="540">
                  <c:v>1.3715435128011253</c:v>
                </c:pt>
                <c:pt idx="541">
                  <c:v>1.2584093978714497</c:v>
                </c:pt>
                <c:pt idx="542">
                  <c:v>1.142368767366182</c:v>
                </c:pt>
                <c:pt idx="543">
                  <c:v>1.0236093636119306</c:v>
                </c:pt>
                <c:pt idx="544">
                  <c:v>0.90232486730045569</c:v>
                </c:pt>
                <c:pt idx="545">
                  <c:v>0.77871459067496496</c:v>
                </c:pt>
                <c:pt idx="546">
                  <c:v>0.65298315890986025</c:v>
                </c:pt>
                <c:pt idx="547">
                  <c:v>0.5253401801763079</c:v>
                </c:pt>
                <c:pt idx="548">
                  <c:v>0.39599990490918147</c:v>
                </c:pt>
                <c:pt idx="549">
                  <c:v>0.26518087481294411</c:v>
                </c:pt>
                <c:pt idx="550">
                  <c:v>0.1331055621655774</c:v>
                </c:pt>
                <c:pt idx="551">
                  <c:v>1.3376999956827804E-14</c:v>
                </c:pt>
                <c:pt idx="552">
                  <c:v>-0.13390659623765677</c:v>
                </c:pt>
                <c:pt idx="553">
                  <c:v>-0.26838221493541836</c:v>
                </c:pt>
                <c:pt idx="554">
                  <c:v>-0.40319244183237801</c:v>
                </c:pt>
                <c:pt idx="555">
                  <c:v>-0.53810086015348013</c:v>
                </c:pt>
                <c:pt idx="556">
                  <c:v>-0.67286945669392595</c:v>
                </c:pt>
                <c:pt idx="557">
                  <c:v>-0.80725903317095982</c:v>
                </c:pt>
                <c:pt idx="558">
                  <c:v>-0.94102962214713126</c:v>
                </c:pt>
                <c:pt idx="559">
                  <c:v>-1.0739409068169679</c:v>
                </c:pt>
                <c:pt idx="560">
                  <c:v>-1.2057526439378554</c:v>
                </c:pt>
                <c:pt idx="561">
                  <c:v>-1.3362250891760179</c:v>
                </c:pt>
                <c:pt idx="562">
                  <c:v>-1.4651194241298382</c:v>
                </c:pt>
                <c:pt idx="563">
                  <c:v>-1.5921981842854003</c:v>
                </c:pt>
                <c:pt idx="564">
                  <c:v>-1.7172256871529514</c:v>
                </c:pt>
                <c:pt idx="565">
                  <c:v>-1.8399684598281425</c:v>
                </c:pt>
                <c:pt idx="566">
                  <c:v>-1.9601956652183778</c:v>
                </c:pt>
                <c:pt idx="567">
                  <c:v>-2.077679526172429</c:v>
                </c:pt>
                <c:pt idx="568">
                  <c:v>-2.1921957467505546</c:v>
                </c:pt>
                <c:pt idx="569">
                  <c:v>-2.3035239298728238</c:v>
                </c:pt>
                <c:pt idx="570">
                  <c:v>-2.4114479905851889</c:v>
                </c:pt>
                <c:pt idx="571">
                  <c:v>-2.5157565641860358</c:v>
                </c:pt>
                <c:pt idx="572">
                  <c:v>-2.6162434084604125</c:v>
                </c:pt>
                <c:pt idx="573">
                  <c:v>-2.7127077992751336</c:v>
                </c:pt>
                <c:pt idx="574">
                  <c:v>-2.8049549187950595</c:v>
                </c:pt>
                <c:pt idx="575">
                  <c:v>-2.8927962355895995</c:v>
                </c:pt>
                <c:pt idx="576">
                  <c:v>-2.9760498759083296</c:v>
                </c:pt>
                <c:pt idx="577">
                  <c:v>-3.0545409854159375</c:v>
                </c:pt>
                <c:pt idx="578">
                  <c:v>-3.1281020806892958</c:v>
                </c:pt>
                <c:pt idx="579">
                  <c:v>-3.1965733897933886</c:v>
                </c:pt>
                <c:pt idx="580">
                  <c:v>-3.2598031812680008</c:v>
                </c:pt>
                <c:pt idx="581">
                  <c:v>-3.3176480808735778</c:v>
                </c:pt>
                <c:pt idx="582">
                  <c:v>-3.3699733754623775</c:v>
                </c:pt>
                <c:pt idx="583">
                  <c:v>-3.4166533033599955</c:v>
                </c:pt>
                <c:pt idx="584">
                  <c:v>-3.4575713306624958</c:v>
                </c:pt>
                <c:pt idx="585">
                  <c:v>-3.4926204128757399</c:v>
                </c:pt>
                <c:pt idx="586">
                  <c:v>-3.5217032413459228</c:v>
                </c:pt>
                <c:pt idx="587">
                  <c:v>-3.5447324739539794</c:v>
                </c:pt>
                <c:pt idx="588">
                  <c:v>-3.5616309495711183</c:v>
                </c:pt>
                <c:pt idx="589">
                  <c:v>-3.5723318857984725</c:v>
                </c:pt>
                <c:pt idx="590">
                  <c:v>-3.5767790595405464</c:v>
                </c:pt>
                <c:pt idx="591">
                  <c:v>-3.5749269699897726</c:v>
                </c:pt>
                <c:pt idx="592">
                  <c:v>-3.5667409836280775</c:v>
                </c:pt>
                <c:pt idx="593">
                  <c:v>-3.5521974608807665</c:v>
                </c:pt>
                <c:pt idx="594">
                  <c:v>-3.5312838640883153</c:v>
                </c:pt>
                <c:pt idx="595">
                  <c:v>-3.503998846492677</c:v>
                </c:pt>
                <c:pt idx="596">
                  <c:v>-3.4703523219664563</c:v>
                </c:pt>
                <c:pt idx="597">
                  <c:v>-3.4303655152457435</c:v>
                </c:pt>
                <c:pt idx="598">
                  <c:v>-3.3840709924604191</c:v>
                </c:pt>
                <c:pt idx="599">
                  <c:v>-3.3315126717894019</c:v>
                </c:pt>
                <c:pt idx="600">
                  <c:v>-3.2727458141023158</c:v>
                </c:pt>
                <c:pt idx="601">
                  <c:v>-3.2078369934837756</c:v>
                </c:pt>
                <c:pt idx="602">
                  <c:v>-3.136864047571255</c:v>
                </c:pt>
                <c:pt idx="603">
                  <c:v>-3.0599160076729963</c:v>
                </c:pt>
                <c:pt idx="604">
                  <c:v>-2.9770930086677616</c:v>
                </c:pt>
                <c:pt idx="605">
                  <c:v>-2.8885061787242199</c:v>
                </c:pt>
                <c:pt idx="606">
                  <c:v>-2.7942775089134573</c:v>
                </c:pt>
                <c:pt idx="607">
                  <c:v>-2.6945397028243248</c:v>
                </c:pt>
                <c:pt idx="608">
                  <c:v>-2.5894360063271602</c:v>
                </c:pt>
                <c:pt idx="609">
                  <c:v>-2.4791200176675674</c:v>
                </c:pt>
                <c:pt idx="610">
                  <c:v>-2.3637554781077275</c:v>
                </c:pt>
                <c:pt idx="611">
                  <c:v>-2.2435160433684449</c:v>
                </c:pt>
                <c:pt idx="612">
                  <c:v>-2.1185850361606722</c:v>
                </c:pt>
                <c:pt idx="613">
                  <c:v>-1.9891551801303085</c:v>
                </c:pt>
                <c:pt idx="614">
                  <c:v>-1.8554283155750695</c:v>
                </c:pt>
                <c:pt idx="615">
                  <c:v>-1.717615097326429</c:v>
                </c:pt>
                <c:pt idx="616">
                  <c:v>-1.5759346752237338</c:v>
                </c:pt>
                <c:pt idx="617">
                  <c:v>-1.4306143576407584</c:v>
                </c:pt>
                <c:pt idx="618">
                  <c:v>-1.2818892585579096</c:v>
                </c:pt>
                <c:pt idx="619">
                  <c:v>-1.1300019287051557</c:v>
                </c:pt>
                <c:pt idx="620">
                  <c:v>-0.97520197133229869</c:v>
                </c:pt>
                <c:pt idx="621">
                  <c:v>-0.81774564319352872</c:v>
                </c:pt>
                <c:pt idx="622">
                  <c:v>-0.65789544136310751</c:v>
                </c:pt>
                <c:pt idx="623">
                  <c:v>-0.49591967652757463</c:v>
                </c:pt>
                <c:pt idx="624">
                  <c:v>-0.33209203342787097</c:v>
                </c:pt>
                <c:pt idx="625">
                  <c:v>-0.16669111915143262</c:v>
                </c:pt>
                <c:pt idx="626">
                  <c:v>-6.603098277009967E-15</c:v>
                </c:pt>
                <c:pt idx="627">
                  <c:v>0.16769427231636155</c:v>
                </c:pt>
                <c:pt idx="628">
                  <c:v>0.33610114438552208</c:v>
                </c:pt>
                <c:pt idx="629">
                  <c:v>0.50492705390356241</c:v>
                </c:pt>
                <c:pt idx="630">
                  <c:v>0.673875930772595</c:v>
                </c:pt>
                <c:pt idx="631">
                  <c:v>0.84264970564949337</c:v>
                </c:pt>
                <c:pt idx="632">
                  <c:v>1.0109488250910885</c:v>
                </c:pt>
                <c:pt idx="633">
                  <c:v>1.1784727724243076</c:v>
                </c:pt>
                <c:pt idx="634">
                  <c:v>1.3449205934545887</c:v>
                </c:pt>
                <c:pt idx="635">
                  <c:v>1.5099914261117888</c:v>
                </c:pt>
                <c:pt idx="636">
                  <c:v>1.6733850331206386</c:v>
                </c:pt>
                <c:pt idx="637">
                  <c:v>1.8348023367717472</c:v>
                </c:pt>
                <c:pt idx="638">
                  <c:v>1.9939459548600549</c:v>
                </c:pt>
                <c:pt idx="639">
                  <c:v>2.1505207368498356</c:v>
                </c:pt>
                <c:pt idx="640">
                  <c:v>2.3042342993193512</c:v>
                </c:pt>
                <c:pt idx="641">
                  <c:v>2.4547975597338052</c:v>
                </c:pt>
                <c:pt idx="642">
                  <c:v>2.60192526759249</c:v>
                </c:pt>
                <c:pt idx="643">
                  <c:v>2.7453365319949166</c:v>
                </c:pt>
                <c:pt idx="644">
                  <c:v>2.8847553446713023</c:v>
                </c:pt>
                <c:pt idx="645">
                  <c:v>3.0199110975250671</c:v>
                </c:pt>
                <c:pt idx="646">
                  <c:v>3.150539093738975</c:v>
                </c:pt>
                <c:pt idx="647">
                  <c:v>3.2763810515022134</c:v>
                </c:pt>
                <c:pt idx="648">
                  <c:v>3.3971855994230991</c:v>
                </c:pt>
                <c:pt idx="649">
                  <c:v>3.5127087627011675</c:v>
                </c:pt>
                <c:pt idx="650">
                  <c:v>3.6227144391431758</c:v>
                </c:pt>
                <c:pt idx="651">
                  <c:v>3.7269748641199874</c:v>
                </c:pt>
                <c:pt idx="652">
                  <c:v>3.8252710635754656</c:v>
                </c:pt>
                <c:pt idx="653">
                  <c:v>3.9173932942142473</c:v>
                </c:pt>
                <c:pt idx="654">
                  <c:v>4.0031414700126966</c:v>
                </c:pt>
                <c:pt idx="655">
                  <c:v>4.0823255742164273</c:v>
                </c:pt>
                <c:pt idx="656">
                  <c:v>4.154766056008329</c:v>
                </c:pt>
                <c:pt idx="657">
                  <c:v>4.2202942110533144</c:v>
                </c:pt>
                <c:pt idx="658">
                  <c:v>4.2787525451496977</c:v>
                </c:pt>
                <c:pt idx="659">
                  <c:v>4.3299951202423781</c:v>
                </c:pt>
                <c:pt idx="660">
                  <c:v>4.3738878820796989</c:v>
                </c:pt>
                <c:pt idx="661">
                  <c:v>4.4103089688240207</c:v>
                </c:pt>
                <c:pt idx="662">
                  <c:v>4.4391489999555569</c:v>
                </c:pt>
                <c:pt idx="663">
                  <c:v>4.4603113448399139</c:v>
                </c:pt>
                <c:pt idx="664">
                  <c:v>4.4737123703619481</c:v>
                </c:pt>
                <c:pt idx="665">
                  <c:v>4.4792816670619988</c:v>
                </c:pt>
                <c:pt idx="666">
                  <c:v>4.4769622532451434</c:v>
                </c:pt>
                <c:pt idx="667">
                  <c:v>4.4667107565699551</c:v>
                </c:pt>
                <c:pt idx="668">
                  <c:v>4.4484975726600444</c:v>
                </c:pt>
                <c:pt idx="669">
                  <c:v>4.422307000319579</c:v>
                </c:pt>
                <c:pt idx="670">
                  <c:v>4.3881373529728682</c:v>
                </c:pt>
                <c:pt idx="671">
                  <c:v>4.3460010459877747</c:v>
                </c:pt>
                <c:pt idx="672">
                  <c:v>4.2959246595834495</c:v>
                </c:pt>
                <c:pt idx="673">
                  <c:v>4.2379489770641268</c:v>
                </c:pt>
                <c:pt idx="674">
                  <c:v>4.172128998162913</c:v>
                </c:pt>
                <c:pt idx="675">
                  <c:v>4.0985339273221628</c:v>
                </c:pt>
                <c:pt idx="676">
                  <c:v>4.0172471367803393</c:v>
                </c:pt>
                <c:pt idx="677">
                  <c:v>3.9283661043790357</c:v>
                </c:pt>
                <c:pt idx="678">
                  <c:v>3.8320023260480069</c:v>
                </c:pt>
                <c:pt idx="679">
                  <c:v>3.7282812029706172</c:v>
                </c:pt>
                <c:pt idx="680">
                  <c:v>3.6173419034768903</c:v>
                </c:pt>
                <c:pt idx="681">
                  <c:v>3.4993371997563307</c:v>
                </c:pt>
                <c:pt idx="682">
                  <c:v>3.3744332795277709</c:v>
                </c:pt>
                <c:pt idx="683">
                  <c:v>3.2428095328486362</c:v>
                </c:pt>
                <c:pt idx="684">
                  <c:v>3.1046583142910649</c:v>
                </c:pt>
                <c:pt idx="685">
                  <c:v>2.9601846807572589</c:v>
                </c:pt>
                <c:pt idx="686">
                  <c:v>2.8096061052511883</c:v>
                </c:pt>
                <c:pt idx="687">
                  <c:v>2.6531521669681624</c:v>
                </c:pt>
                <c:pt idx="688">
                  <c:v>2.4910642181078968</c:v>
                </c:pt>
                <c:pt idx="689">
                  <c:v>2.3235950278602573</c:v>
                </c:pt>
                <c:pt idx="690">
                  <c:v>2.1510084040559789</c:v>
                </c:pt>
                <c:pt idx="691">
                  <c:v>1.9735787930171198</c:v>
                </c:pt>
                <c:pt idx="692">
                  <c:v>1.7915908581837463</c:v>
                </c:pt>
                <c:pt idx="693">
                  <c:v>1.6053390381344068</c:v>
                </c:pt>
                <c:pt idx="694">
                  <c:v>1.4151270846580788</c:v>
                </c:pt>
                <c:pt idx="695">
                  <c:v>1.2212675815745155</c:v>
                </c:pt>
                <c:pt idx="696">
                  <c:v>1.0240814450381757</c:v>
                </c:pt>
                <c:pt idx="697">
                  <c:v>0.82389740609808326</c:v>
                </c:pt>
                <c:pt idx="698">
                  <c:v>0.62105147632199176</c:v>
                </c:pt>
                <c:pt idx="699">
                  <c:v>0.41588639732806204</c:v>
                </c:pt>
                <c:pt idx="700">
                  <c:v>0.20875107510077309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8-4FC4-829F-5D8E60F7C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849872"/>
        <c:axId val="1193850352"/>
      </c:scatterChart>
      <c:valAx>
        <c:axId val="1193849872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850352"/>
        <c:crosses val="autoZero"/>
        <c:crossBetween val="midCat"/>
      </c:valAx>
      <c:valAx>
        <c:axId val="11938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84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full_wave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Sheet3!$E$2:$E$1004</c:f>
              <c:strCache>
                <c:ptCount val="10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x</c:v>
                </c:pt>
              </c:strCache>
            </c:strRef>
          </c:xVal>
          <c:yVal>
            <c:numRef>
              <c:f>Sheet3!$H$2:$H$1004</c:f>
              <c:numCache>
                <c:formatCode>General</c:formatCode>
                <c:ptCount val="1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0.20875107510077309</c:v>
                </c:pt>
                <c:pt idx="253">
                  <c:v>0.41588639732806204</c:v>
                </c:pt>
                <c:pt idx="254">
                  <c:v>0.62105147632199176</c:v>
                </c:pt>
                <c:pt idx="255">
                  <c:v>0.82389740609808326</c:v>
                </c:pt>
                <c:pt idx="256">
                  <c:v>1.0240814450381757</c:v>
                </c:pt>
                <c:pt idx="257">
                  <c:v>1.2212675815745155</c:v>
                </c:pt>
                <c:pt idx="258">
                  <c:v>1.4151270846580788</c:v>
                </c:pt>
                <c:pt idx="259">
                  <c:v>1.6053390381344068</c:v>
                </c:pt>
                <c:pt idx="260">
                  <c:v>1.7915908581837463</c:v>
                </c:pt>
                <c:pt idx="261">
                  <c:v>1.9735787930171198</c:v>
                </c:pt>
                <c:pt idx="262">
                  <c:v>2.1510084040559789</c:v>
                </c:pt>
                <c:pt idx="263">
                  <c:v>2.3235950278602573</c:v>
                </c:pt>
                <c:pt idx="264">
                  <c:v>2.4910642181078968</c:v>
                </c:pt>
                <c:pt idx="265">
                  <c:v>2.6531521669681624</c:v>
                </c:pt>
                <c:pt idx="266">
                  <c:v>2.8096061052511883</c:v>
                </c:pt>
                <c:pt idx="267">
                  <c:v>2.9601846807572589</c:v>
                </c:pt>
                <c:pt idx="268">
                  <c:v>3.1046583142910649</c:v>
                </c:pt>
                <c:pt idx="269">
                  <c:v>3.2428095328486362</c:v>
                </c:pt>
                <c:pt idx="270">
                  <c:v>3.3744332795277709</c:v>
                </c:pt>
                <c:pt idx="271">
                  <c:v>3.4993371997563307</c:v>
                </c:pt>
                <c:pt idx="272">
                  <c:v>3.6173419034768903</c:v>
                </c:pt>
                <c:pt idx="273">
                  <c:v>3.7282812029706172</c:v>
                </c:pt>
                <c:pt idx="274">
                  <c:v>3.8320023260480069</c:v>
                </c:pt>
                <c:pt idx="275">
                  <c:v>3.9283661043790357</c:v>
                </c:pt>
                <c:pt idx="276">
                  <c:v>4.0172471367803393</c:v>
                </c:pt>
                <c:pt idx="277">
                  <c:v>4.0985339273221628</c:v>
                </c:pt>
                <c:pt idx="278">
                  <c:v>4.172128998162913</c:v>
                </c:pt>
                <c:pt idx="279">
                  <c:v>4.2379489770641268</c:v>
                </c:pt>
                <c:pt idx="280">
                  <c:v>4.2959246595834495</c:v>
                </c:pt>
                <c:pt idx="281">
                  <c:v>4.3460010459877747</c:v>
                </c:pt>
                <c:pt idx="282">
                  <c:v>4.3881373529728682</c:v>
                </c:pt>
                <c:pt idx="283">
                  <c:v>4.422307000319579</c:v>
                </c:pt>
                <c:pt idx="284">
                  <c:v>4.4484975726600444</c:v>
                </c:pt>
                <c:pt idx="285">
                  <c:v>4.4667107565699551</c:v>
                </c:pt>
                <c:pt idx="286">
                  <c:v>4.4769622532451434</c:v>
                </c:pt>
                <c:pt idx="287">
                  <c:v>4.4792816670619988</c:v>
                </c:pt>
                <c:pt idx="288">
                  <c:v>4.4737123703619481</c:v>
                </c:pt>
                <c:pt idx="289">
                  <c:v>4.4603113448399139</c:v>
                </c:pt>
                <c:pt idx="290">
                  <c:v>4.4391489999555569</c:v>
                </c:pt>
                <c:pt idx="291">
                  <c:v>4.4103089688240207</c:v>
                </c:pt>
                <c:pt idx="292">
                  <c:v>4.3738878820796989</c:v>
                </c:pt>
                <c:pt idx="293">
                  <c:v>4.3299951202423781</c:v>
                </c:pt>
                <c:pt idx="294">
                  <c:v>4.2787525451496977</c:v>
                </c:pt>
                <c:pt idx="295">
                  <c:v>4.2202942110533144</c:v>
                </c:pt>
                <c:pt idx="296">
                  <c:v>4.154766056008329</c:v>
                </c:pt>
                <c:pt idx="297">
                  <c:v>4.0823255742164273</c:v>
                </c:pt>
                <c:pt idx="298">
                  <c:v>4.0031414700126966</c:v>
                </c:pt>
                <c:pt idx="299">
                  <c:v>3.9173932942142473</c:v>
                </c:pt>
                <c:pt idx="300">
                  <c:v>3.8252710635754656</c:v>
                </c:pt>
                <c:pt idx="301">
                  <c:v>3.7269748641199874</c:v>
                </c:pt>
                <c:pt idx="302">
                  <c:v>3.6227144391431758</c:v>
                </c:pt>
                <c:pt idx="303">
                  <c:v>3.5127087627011675</c:v>
                </c:pt>
                <c:pt idx="304">
                  <c:v>3.3971855994230991</c:v>
                </c:pt>
                <c:pt idx="305">
                  <c:v>3.2763810515022134</c:v>
                </c:pt>
                <c:pt idx="306">
                  <c:v>3.150539093738975</c:v>
                </c:pt>
                <c:pt idx="307">
                  <c:v>3.0199110975250671</c:v>
                </c:pt>
                <c:pt idx="308">
                  <c:v>2.8847553446713023</c:v>
                </c:pt>
                <c:pt idx="309">
                  <c:v>2.7453365319949166</c:v>
                </c:pt>
                <c:pt idx="310">
                  <c:v>2.60192526759249</c:v>
                </c:pt>
                <c:pt idx="311">
                  <c:v>2.4547975597338052</c:v>
                </c:pt>
                <c:pt idx="312">
                  <c:v>2.3042342993193512</c:v>
                </c:pt>
                <c:pt idx="313">
                  <c:v>2.1505207368498356</c:v>
                </c:pt>
                <c:pt idx="314">
                  <c:v>1.9939459548600549</c:v>
                </c:pt>
                <c:pt idx="315">
                  <c:v>1.8348023367717472</c:v>
                </c:pt>
                <c:pt idx="316">
                  <c:v>1.6733850331206386</c:v>
                </c:pt>
                <c:pt idx="317">
                  <c:v>1.5099914261117888</c:v>
                </c:pt>
                <c:pt idx="318">
                  <c:v>1.3449205934545887</c:v>
                </c:pt>
                <c:pt idx="319">
                  <c:v>1.1784727724243076</c:v>
                </c:pt>
                <c:pt idx="320">
                  <c:v>1.0109488250910885</c:v>
                </c:pt>
                <c:pt idx="321">
                  <c:v>0.84264970564949337</c:v>
                </c:pt>
                <c:pt idx="322">
                  <c:v>0.673875930772595</c:v>
                </c:pt>
                <c:pt idx="323">
                  <c:v>0.50492705390356241</c:v>
                </c:pt>
                <c:pt idx="324">
                  <c:v>0.33610114438552208</c:v>
                </c:pt>
                <c:pt idx="325">
                  <c:v>0.16769427231636155</c:v>
                </c:pt>
                <c:pt idx="326">
                  <c:v>-6.603098277009967E-15</c:v>
                </c:pt>
                <c:pt idx="327">
                  <c:v>-0.16669111915143262</c:v>
                </c:pt>
                <c:pt idx="328">
                  <c:v>-0.33209203342787097</c:v>
                </c:pt>
                <c:pt idx="329">
                  <c:v>-0.49591967652757463</c:v>
                </c:pt>
                <c:pt idx="330">
                  <c:v>-0.65789544136310751</c:v>
                </c:pt>
                <c:pt idx="331">
                  <c:v>-0.81774564319352872</c:v>
                </c:pt>
                <c:pt idx="332">
                  <c:v>-0.97520197133229869</c:v>
                </c:pt>
                <c:pt idx="333">
                  <c:v>-1.1300019287051557</c:v>
                </c:pt>
                <c:pt idx="334">
                  <c:v>-1.2818892585579096</c:v>
                </c:pt>
                <c:pt idx="335">
                  <c:v>-1.4306143576407584</c:v>
                </c:pt>
                <c:pt idx="336">
                  <c:v>-1.5759346752237338</c:v>
                </c:pt>
                <c:pt idx="337">
                  <c:v>-1.717615097326429</c:v>
                </c:pt>
                <c:pt idx="338">
                  <c:v>-1.8554283155750695</c:v>
                </c:pt>
                <c:pt idx="339">
                  <c:v>-1.9891551801303085</c:v>
                </c:pt>
                <c:pt idx="340">
                  <c:v>-2.1185850361606722</c:v>
                </c:pt>
                <c:pt idx="341">
                  <c:v>-2.2435160433684449</c:v>
                </c:pt>
                <c:pt idx="342">
                  <c:v>-2.3637554781077275</c:v>
                </c:pt>
                <c:pt idx="343">
                  <c:v>-2.4791200176675674</c:v>
                </c:pt>
                <c:pt idx="344">
                  <c:v>-2.5894360063271602</c:v>
                </c:pt>
                <c:pt idx="345">
                  <c:v>-2.6945397028243248</c:v>
                </c:pt>
                <c:pt idx="346">
                  <c:v>-2.7942775089134573</c:v>
                </c:pt>
                <c:pt idx="347">
                  <c:v>-2.8885061787242199</c:v>
                </c:pt>
                <c:pt idx="348">
                  <c:v>-2.9770930086677616</c:v>
                </c:pt>
                <c:pt idx="349">
                  <c:v>-3.0599160076729963</c:v>
                </c:pt>
                <c:pt idx="350">
                  <c:v>-3.136864047571255</c:v>
                </c:pt>
                <c:pt idx="351">
                  <c:v>-3.2078369934837756</c:v>
                </c:pt>
                <c:pt idx="352">
                  <c:v>-3.2727458141023158</c:v>
                </c:pt>
                <c:pt idx="353">
                  <c:v>-3.3315126717894019</c:v>
                </c:pt>
                <c:pt idx="354">
                  <c:v>-3.3840709924604191</c:v>
                </c:pt>
                <c:pt idx="355">
                  <c:v>-3.4303655152457435</c:v>
                </c:pt>
                <c:pt idx="356">
                  <c:v>-3.4703523219664563</c:v>
                </c:pt>
                <c:pt idx="357">
                  <c:v>-3.503998846492677</c:v>
                </c:pt>
                <c:pt idx="358">
                  <c:v>-3.5312838640883153</c:v>
                </c:pt>
                <c:pt idx="359">
                  <c:v>-3.5521974608807665</c:v>
                </c:pt>
                <c:pt idx="360">
                  <c:v>-3.5667409836280775</c:v>
                </c:pt>
                <c:pt idx="361">
                  <c:v>-3.5749269699897726</c:v>
                </c:pt>
                <c:pt idx="362">
                  <c:v>-3.5767790595405464</c:v>
                </c:pt>
                <c:pt idx="363">
                  <c:v>-3.5723318857984725</c:v>
                </c:pt>
                <c:pt idx="364">
                  <c:v>-3.5616309495711183</c:v>
                </c:pt>
                <c:pt idx="365">
                  <c:v>-3.5447324739539794</c:v>
                </c:pt>
                <c:pt idx="366">
                  <c:v>-3.5217032413459228</c:v>
                </c:pt>
                <c:pt idx="367">
                  <c:v>-3.4926204128757399</c:v>
                </c:pt>
                <c:pt idx="368">
                  <c:v>-3.4575713306624958</c:v>
                </c:pt>
                <c:pt idx="369">
                  <c:v>-3.4166533033599955</c:v>
                </c:pt>
                <c:pt idx="370">
                  <c:v>-3.3699733754623775</c:v>
                </c:pt>
                <c:pt idx="371">
                  <c:v>-3.3176480808735778</c:v>
                </c:pt>
                <c:pt idx="372">
                  <c:v>-3.2598031812680008</c:v>
                </c:pt>
                <c:pt idx="373">
                  <c:v>-3.1965733897933886</c:v>
                </c:pt>
                <c:pt idx="374">
                  <c:v>-3.1281020806892958</c:v>
                </c:pt>
                <c:pt idx="375">
                  <c:v>-3.0545409854159375</c:v>
                </c:pt>
                <c:pt idx="376">
                  <c:v>-2.9760498759083296</c:v>
                </c:pt>
                <c:pt idx="377">
                  <c:v>-2.8927962355895995</c:v>
                </c:pt>
                <c:pt idx="378">
                  <c:v>-2.8049549187950595</c:v>
                </c:pt>
                <c:pt idx="379">
                  <c:v>-2.7127077992751336</c:v>
                </c:pt>
                <c:pt idx="380">
                  <c:v>-2.6162434084604125</c:v>
                </c:pt>
                <c:pt idx="381">
                  <c:v>-2.5157565641860358</c:v>
                </c:pt>
                <c:pt idx="382">
                  <c:v>-2.4114479905851889</c:v>
                </c:pt>
                <c:pt idx="383">
                  <c:v>-2.3035239298728238</c:v>
                </c:pt>
                <c:pt idx="384">
                  <c:v>-2.1921957467505546</c:v>
                </c:pt>
                <c:pt idx="385">
                  <c:v>-2.077679526172429</c:v>
                </c:pt>
                <c:pt idx="386">
                  <c:v>-1.9601956652183778</c:v>
                </c:pt>
                <c:pt idx="387">
                  <c:v>-1.8399684598281425</c:v>
                </c:pt>
                <c:pt idx="388">
                  <c:v>-1.7172256871529514</c:v>
                </c:pt>
                <c:pt idx="389">
                  <c:v>-1.5921981842854003</c:v>
                </c:pt>
                <c:pt idx="390">
                  <c:v>-1.4651194241298382</c:v>
                </c:pt>
                <c:pt idx="391">
                  <c:v>-1.3362250891760179</c:v>
                </c:pt>
                <c:pt idx="392">
                  <c:v>-1.2057526439378554</c:v>
                </c:pt>
                <c:pt idx="393">
                  <c:v>-1.0739409068169679</c:v>
                </c:pt>
                <c:pt idx="394">
                  <c:v>-0.94102962214713126</c:v>
                </c:pt>
                <c:pt idx="395">
                  <c:v>-0.80725903317095982</c:v>
                </c:pt>
                <c:pt idx="396">
                  <c:v>-0.67286945669392595</c:v>
                </c:pt>
                <c:pt idx="397">
                  <c:v>-0.53810086015348013</c:v>
                </c:pt>
                <c:pt idx="398">
                  <c:v>-0.40319244183237801</c:v>
                </c:pt>
                <c:pt idx="399">
                  <c:v>-0.26838221493541836</c:v>
                </c:pt>
                <c:pt idx="400">
                  <c:v>-0.13390659623765677</c:v>
                </c:pt>
                <c:pt idx="401">
                  <c:v>1.3376999956827804E-14</c:v>
                </c:pt>
                <c:pt idx="402">
                  <c:v>0.1331055621655774</c:v>
                </c:pt>
                <c:pt idx="403">
                  <c:v>0.26518087481294411</c:v>
                </c:pt>
                <c:pt idx="404">
                  <c:v>0.39599990490918147</c:v>
                </c:pt>
                <c:pt idx="405">
                  <c:v>0.5253401801763079</c:v>
                </c:pt>
                <c:pt idx="406">
                  <c:v>0.65298315890986025</c:v>
                </c:pt>
                <c:pt idx="407">
                  <c:v>0.77871459067496496</c:v>
                </c:pt>
                <c:pt idx="408">
                  <c:v>0.90232486730045569</c:v>
                </c:pt>
                <c:pt idx="409">
                  <c:v>1.0236093636119306</c:v>
                </c:pt>
                <c:pt idx="410">
                  <c:v>1.142368767366182</c:v>
                </c:pt>
                <c:pt idx="411">
                  <c:v>1.2584093978714497</c:v>
                </c:pt>
                <c:pt idx="412">
                  <c:v>1.3715435128011253</c:v>
                </c:pt>
                <c:pt idx="413">
                  <c:v>1.4815896027320912</c:v>
                </c:pt>
                <c:pt idx="414">
                  <c:v>1.588372672963289</c:v>
                </c:pt>
                <c:pt idx="415">
                  <c:v>1.6917245121952242</c:v>
                </c:pt>
                <c:pt idx="416">
                  <c:v>1.791483947676574</c:v>
                </c:pt>
                <c:pt idx="417">
                  <c:v>1.8874970864503515</c:v>
                </c:pt>
                <c:pt idx="418">
                  <c:v>1.9796175423585929</c:v>
                </c:pt>
                <c:pt idx="419">
                  <c:v>2.0677066484917526</c:v>
                </c:pt>
                <c:pt idx="420">
                  <c:v>2.1516336547962993</c:v>
                </c:pt>
                <c:pt idx="421">
                  <c:v>2.2312759105819508</c:v>
                </c:pt>
                <c:pt idx="422">
                  <c:v>2.3065190316979658</c:v>
                </c:pt>
                <c:pt idx="423">
                  <c:v>2.3772570521763638</c:v>
                </c:pt>
                <c:pt idx="424">
                  <c:v>2.4433925601683328</c:v>
                </c:pt>
                <c:pt idx="425">
                  <c:v>2.5048368180288367</c:v>
                </c:pt>
                <c:pt idx="426">
                  <c:v>2.5615098664331164</c:v>
                </c:pt>
                <c:pt idx="427">
                  <c:v>2.6133406124375647</c:v>
                </c:pt>
                <c:pt idx="428">
                  <c:v>2.6602669014262239</c:v>
                </c:pt>
                <c:pt idx="429">
                  <c:v>2.7022355729127887</c:v>
                </c:pt>
                <c:pt idx="430">
                  <c:v>2.7392025001965954</c:v>
                </c:pt>
                <c:pt idx="431">
                  <c:v>2.7711326138994821</c:v>
                </c:pt>
                <c:pt idx="432">
                  <c:v>2.7979999094385533</c:v>
                </c:pt>
                <c:pt idx="433">
                  <c:v>2.819787438517805</c:v>
                </c:pt>
                <c:pt idx="434">
                  <c:v>2.8364872847491713</c:v>
                </c:pt>
                <c:pt idx="435">
                  <c:v>2.8481005235407948</c:v>
                </c:pt>
                <c:pt idx="436">
                  <c:v>2.8546371664171506</c:v>
                </c:pt>
                <c:pt idx="437">
                  <c:v>2.8561160899620375</c:v>
                </c:pt>
                <c:pt idx="438">
                  <c:v>2.8525649496013505</c:v>
                </c:pt>
                <c:pt idx="439">
                  <c:v>2.8440200784678984</c:v>
                </c:pt>
                <c:pt idx="440">
                  <c:v>2.8305263716153033</c:v>
                </c:pt>
                <c:pt idx="441">
                  <c:v>2.8121371558721866</c:v>
                </c:pt>
                <c:pt idx="442">
                  <c:v>2.7889140456513486</c:v>
                </c:pt>
                <c:pt idx="443">
                  <c:v>2.7609267850514421</c:v>
                </c:pt>
                <c:pt idx="444">
                  <c:v>2.7282530766107551</c:v>
                </c:pt>
                <c:pt idx="445">
                  <c:v>2.6909783970939904</c:v>
                </c:pt>
                <c:pt idx="446">
                  <c:v>2.6491958007134713</c:v>
                </c:pt>
                <c:pt idx="447">
                  <c:v>2.6030057102059092</c:v>
                </c:pt>
                <c:pt idx="448">
                  <c:v>2.5525156962046567</c:v>
                </c:pt>
                <c:pt idx="449">
                  <c:v>2.497840245365353</c:v>
                </c:pt>
                <c:pt idx="450">
                  <c:v>2.439100517719873</c:v>
                </c:pt>
                <c:pt idx="451">
                  <c:v>2.3764240937496286</c:v>
                </c:pt>
                <c:pt idx="452">
                  <c:v>2.3099447116843672</c:v>
                </c:pt>
                <c:pt idx="453">
                  <c:v>2.2398019955467454</c:v>
                </c:pt>
                <c:pt idx="454">
                  <c:v>2.1661411744762544</c:v>
                </c:pt>
                <c:pt idx="455">
                  <c:v>2.0891127938779577</c:v>
                </c:pt>
                <c:pt idx="456">
                  <c:v>2.0088724189529201</c:v>
                </c:pt>
                <c:pt idx="457">
                  <c:v>1.9255803311769923</c:v>
                </c:pt>
                <c:pt idx="458">
                  <c:v>1.8394012183037989</c:v>
                </c:pt>
                <c:pt idx="459">
                  <c:v>1.7505038584756549</c:v>
                </c:pt>
                <c:pt idx="460">
                  <c:v>1.6590607990329966</c:v>
                </c:pt>
                <c:pt idx="461">
                  <c:v>1.5652480306187171</c:v>
                </c:pt>
                <c:pt idx="462">
                  <c:v>1.4692446571785038</c:v>
                </c:pt>
                <c:pt idx="463">
                  <c:v>1.3712325624618709</c:v>
                </c:pt>
                <c:pt idx="464">
                  <c:v>1.2713960736311474</c:v>
                </c:pt>
                <c:pt idx="465">
                  <c:v>1.169921622587101</c:v>
                </c:pt>
                <c:pt idx="466">
                  <c:v>1.066997405620276</c:v>
                </c:pt>
                <c:pt idx="467">
                  <c:v>0.96281304199641138</c:v>
                </c:pt>
                <c:pt idx="468">
                  <c:v>0.85755923208253548</c:v>
                </c:pt>
                <c:pt idx="469">
                  <c:v>0.75142741561752902</c:v>
                </c:pt>
                <c:pt idx="470">
                  <c:v>0.64460943072706678</c:v>
                </c:pt>
                <c:pt idx="471">
                  <c:v>0.53729717427795376</c:v>
                </c:pt>
                <c:pt idx="472">
                  <c:v>0.42968226416096894</c:v>
                </c:pt>
                <c:pt idx="473">
                  <c:v>0.32195570408439661</c:v>
                </c:pt>
                <c:pt idx="474">
                  <c:v>0.2143075514525449</c:v>
                </c:pt>
                <c:pt idx="475">
                  <c:v>0.10692658889468942</c:v>
                </c:pt>
                <c:pt idx="476">
                  <c:v>4.1635645356205934E-14</c:v>
                </c:pt>
                <c:pt idx="477">
                  <c:v>-0.10628695019623936</c:v>
                </c:pt>
                <c:pt idx="478">
                  <c:v>-0.21175122944287991</c:v>
                </c:pt>
                <c:pt idx="479">
                  <c:v>-0.31621234669708825</c:v>
                </c:pt>
                <c:pt idx="480">
                  <c:v>-0.41949265423669624</c:v>
                </c:pt>
                <c:pt idx="481">
                  <c:v>-0.5214176429661902</c:v>
                </c:pt>
                <c:pt idx="482">
                  <c:v>-0.62181623043846779</c:v>
                </c:pt>
                <c:pt idx="483">
                  <c:v>-0.72052104112924775</c:v>
                </c:pt>
                <c:pt idx="484">
                  <c:v>-0.81736867851802375</c:v>
                </c:pt>
                <c:pt idx="485">
                  <c:v>-0.91219998854598616</c:v>
                </c:pt>
                <c:pt idx="486">
                  <c:v>-1.0048603140395063</c:v>
                </c:pt>
                <c:pt idx="487">
                  <c:v>-1.0951997397058413</c:v>
                </c:pt>
                <c:pt idx="488">
                  <c:v>-1.1830733273267688</c:v>
                </c:pt>
                <c:pt idx="489">
                  <c:v>-1.2683413407953021</c:v>
                </c:pt>
                <c:pt idx="490">
                  <c:v>-1.3508694606606149</c:v>
                </c:pt>
                <c:pt idx="491">
                  <c:v>-1.4305289878667546</c:v>
                </c:pt>
                <c:pt idx="492">
                  <c:v>-1.5071970363916101</c:v>
                </c:pt>
                <c:pt idx="493">
                  <c:v>-1.5807567145138504</c:v>
                </c:pt>
                <c:pt idx="494">
                  <c:v>-1.6510972944571958</c:v>
                </c:pt>
                <c:pt idx="495">
                  <c:v>-1.7181143701833002</c:v>
                </c:pt>
                <c:pt idx="496">
                  <c:v>-1.7817100031267261</c:v>
                </c:pt>
                <c:pt idx="497">
                  <c:v>-1.8417928556879426</c:v>
                </c:pt>
                <c:pt idx="498">
                  <c:v>-1.8982783123228786</c:v>
                </c:pt>
                <c:pt idx="499">
                  <c:v>-1.9510885880903599</c:v>
                </c:pt>
                <c:pt idx="500">
                  <c:v>-2.0001528245416087</c:v>
                </c:pt>
                <c:pt idx="501">
                  <c:v>-2.0454071728589627</c:v>
                </c:pt>
                <c:pt idx="502">
                  <c:v>-2.086794864173914</c:v>
                </c:pt>
                <c:pt idx="503">
                  <c:v>-2.1242662670175547</c:v>
                </c:pt>
                <c:pt idx="504">
                  <c:v>-2.1577789318793625</c:v>
                </c:pt>
                <c:pt idx="505">
                  <c:v>-2.1872976228731855</c:v>
                </c:pt>
                <c:pt idx="506">
                  <c:v>-2.2127943365317746</c:v>
                </c:pt>
                <c:pt idx="507">
                  <c:v>-2.2342483077739304</c:v>
                </c:pt>
                <c:pt idx="508">
                  <c:v>-2.2516460031104089</c:v>
                </c:pt>
                <c:pt idx="509">
                  <c:v>-2.2649811011769461</c:v>
                </c:pt>
                <c:pt idx="510">
                  <c:v>-2.2742544607043884</c:v>
                </c:pt>
                <c:pt idx="511">
                  <c:v>-2.2794740760574017</c:v>
                </c:pt>
                <c:pt idx="512">
                  <c:v>-2.2806550204943039</c:v>
                </c:pt>
                <c:pt idx="513">
                  <c:v>-2.2778193773212099</c:v>
                </c:pt>
                <c:pt idx="514">
                  <c:v>-2.2709961591339454</c:v>
                </c:pt>
                <c:pt idx="515">
                  <c:v>-2.2602212153609686</c:v>
                </c:pt>
                <c:pt idx="516">
                  <c:v>-2.2455371283398304</c:v>
                </c:pt>
                <c:pt idx="517">
                  <c:v>-2.2269930981784603</c:v>
                </c:pt>
                <c:pt idx="518">
                  <c:v>-2.2046448166707959</c:v>
                </c:pt>
                <c:pt idx="519">
                  <c:v>-2.1785543305538977</c:v>
                </c:pt>
                <c:pt idx="520">
                  <c:v>-2.1487898944107093</c:v>
                </c:pt>
                <c:pt idx="521">
                  <c:v>-2.1154258135389936</c:v>
                </c:pt>
                <c:pt idx="522">
                  <c:v>-2.078542277122748</c:v>
                </c:pt>
                <c:pt idx="523">
                  <c:v>-2.0382251820573685</c:v>
                </c:pt>
                <c:pt idx="524">
                  <c:v>-1.9945659477942073</c:v>
                </c:pt>
                <c:pt idx="525">
                  <c:v>-1.9476613225837887</c:v>
                </c:pt>
                <c:pt idx="526">
                  <c:v>-1.8976131815097164</c:v>
                </c:pt>
                <c:pt idx="527">
                  <c:v>-1.8445283167175084</c:v>
                </c:pt>
                <c:pt idx="528">
                  <c:v>-1.788518220253787</c:v>
                </c:pt>
                <c:pt idx="529">
                  <c:v>-1.7296988599418692</c:v>
                </c:pt>
                <c:pt idx="530">
                  <c:v>-1.6681904487293659</c:v>
                </c:pt>
                <c:pt idx="531">
                  <c:v>-1.6041172079523947</c:v>
                </c:pt>
                <c:pt idx="532">
                  <c:v>-1.5376071249689873</c:v>
                </c:pt>
                <c:pt idx="533">
                  <c:v>-1.4687917056214512</c:v>
                </c:pt>
                <c:pt idx="534">
                  <c:v>-1.397805721993796</c:v>
                </c:pt>
                <c:pt idx="535">
                  <c:v>-1.3247869559358587</c:v>
                </c:pt>
                <c:pt idx="536">
                  <c:v>-1.2498759388303391</c:v>
                </c:pt>
                <c:pt idx="537">
                  <c:v>-1.1732156880827178</c:v>
                </c:pt>
                <c:pt idx="538">
                  <c:v>-1.0949514408169121</c:v>
                </c:pt>
                <c:pt idx="539">
                  <c:v>-1.015230385261592</c:v>
                </c:pt>
                <c:pt idx="540">
                  <c:v>-0.93420139031321525</c:v>
                </c:pt>
                <c:pt idx="541">
                  <c:v>-0.85201473376210157</c:v>
                </c:pt>
                <c:pt idx="542">
                  <c:v>-0.76882182966732271</c:v>
                </c:pt>
                <c:pt idx="543">
                  <c:v>-0.68477495536487754</c:v>
                </c:pt>
                <c:pt idx="544">
                  <c:v>-0.60002697859117404</c:v>
                </c:pt>
                <c:pt idx="545">
                  <c:v>-0.51473108520094979</c:v>
                </c:pt>
                <c:pt idx="546">
                  <c:v>-0.42904050795466814</c:v>
                </c:pt>
                <c:pt idx="547">
                  <c:v>-0.34310825684592361</c:v>
                </c:pt>
                <c:pt idx="548">
                  <c:v>-0.25708685143362775</c:v>
                </c:pt>
                <c:pt idx="549">
                  <c:v>-0.17112805563760541</c:v>
                </c:pt>
                <c:pt idx="550">
                  <c:v>-8.5382615449160343E-2</c:v>
                </c:pt>
                <c:pt idx="551">
                  <c:v>-1.7071622338750767E-13</c:v>
                </c:pt>
                <c:pt idx="552">
                  <c:v>8.4871853574030751E-2</c:v>
                </c:pt>
                <c:pt idx="553">
                  <c:v>0.16908679105224236</c:v>
                </c:pt>
                <c:pt idx="554">
                  <c:v>0.25250068740945769</c:v>
                </c:pt>
                <c:pt idx="555">
                  <c:v>0.33497168805828909</c:v>
                </c:pt>
                <c:pt idx="556">
                  <c:v>0.4163604446556588</c:v>
                </c:pt>
                <c:pt idx="557">
                  <c:v>0.49653034509280625</c:v>
                </c:pt>
                <c:pt idx="558">
                  <c:v>0.57534773729897382</c:v>
                </c:pt>
                <c:pt idx="559">
                  <c:v>0.6526821465024375</c:v>
                </c:pt>
                <c:pt idx="560">
                  <c:v>0.72840648560596699</c:v>
                </c:pt>
                <c:pt idx="561">
                  <c:v>0.80239725834807207</c:v>
                </c:pt>
                <c:pt idx="562">
                  <c:v>0.87453475493605048</c:v>
                </c:pt>
                <c:pt idx="563">
                  <c:v>0.94470323985193461</c:v>
                </c:pt>
                <c:pt idx="564">
                  <c:v>1.012791131547955</c:v>
                </c:pt>
                <c:pt idx="565">
                  <c:v>1.0786911737641314</c:v>
                </c:pt>
                <c:pt idx="566">
                  <c:v>1.1423005982169419</c:v>
                </c:pt>
                <c:pt idx="567">
                  <c:v>1.2035212784246707</c:v>
                </c:pt>
                <c:pt idx="568">
                  <c:v>1.2622598744520031</c:v>
                </c:pt>
                <c:pt idx="569">
                  <c:v>1.3184279683737115</c:v>
                </c:pt>
                <c:pt idx="570">
                  <c:v>1.371942190274833</c:v>
                </c:pt>
                <c:pt idx="571">
                  <c:v>1.4227243346224314</c:v>
                </c:pt>
                <c:pt idx="572">
                  <c:v>1.4707014668618954</c:v>
                </c:pt>
                <c:pt idx="573">
                  <c:v>1.5158060201089285</c:v>
                </c:pt>
                <c:pt idx="574">
                  <c:v>1.5579758818264202</c:v>
                </c:pt>
                <c:pt idx="575">
                  <c:v>1.5971544703937921</c:v>
                </c:pt>
                <c:pt idx="576">
                  <c:v>1.6332908014945908</c:v>
                </c:pt>
                <c:pt idx="577">
                  <c:v>1.6663395442665907</c:v>
                </c:pt>
                <c:pt idx="578">
                  <c:v>1.6962610671769092</c:v>
                </c:pt>
                <c:pt idx="579">
                  <c:v>1.7230214736029168</c:v>
                </c:pt>
                <c:pt idx="580">
                  <c:v>1.7465926271180348</c:v>
                </c:pt>
                <c:pt idx="581">
                  <c:v>1.7669521664994867</c:v>
                </c:pt>
                <c:pt idx="582">
                  <c:v>1.7840835104931505</c:v>
                </c:pt>
                <c:pt idx="583">
                  <c:v>1.7979758523883684</c:v>
                </c:pt>
                <c:pt idx="584">
                  <c:v>1.8086241444732509</c:v>
                </c:pt>
                <c:pt idx="585">
                  <c:v>1.816029072458305</c:v>
                </c:pt>
                <c:pt idx="586">
                  <c:v>1.8201970199733768</c:v>
                </c:pt>
                <c:pt idx="587">
                  <c:v>1.8211400232597026</c:v>
                </c:pt>
                <c:pt idx="588">
                  <c:v>1.8188757161953775</c:v>
                </c:pt>
                <c:pt idx="589">
                  <c:v>1.8134272658087174</c:v>
                </c:pt>
                <c:pt idx="590">
                  <c:v>1.8048232984497805</c:v>
                </c:pt>
                <c:pt idx="591">
                  <c:v>1.7930978168057328</c:v>
                </c:pt>
                <c:pt idx="592">
                  <c:v>1.7782901079607205</c:v>
                </c:pt>
                <c:pt idx="593">
                  <c:v>1.760444642715455</c:v>
                </c:pt>
                <c:pt idx="594">
                  <c:v>1.7396109663958004</c:v>
                </c:pt>
                <c:pt idx="595">
                  <c:v>1.7158435813932411</c:v>
                </c:pt>
                <c:pt idx="596">
                  <c:v>1.6892018216931814</c:v>
                </c:pt>
                <c:pt idx="597">
                  <c:v>1.659749719659612</c:v>
                </c:pt>
                <c:pt idx="598">
                  <c:v>1.6275558653566446</c:v>
                </c:pt>
                <c:pt idx="599">
                  <c:v>1.592693258698902</c:v>
                </c:pt>
                <c:pt idx="600">
                  <c:v>1.5552391547335567</c:v>
                </c:pt>
                <c:pt idx="601">
                  <c:v>1.5152749023671566</c:v>
                </c:pt>
                <c:pt idx="602">
                  <c:v>1.4728857768599306</c:v>
                </c:pt>
                <c:pt idx="603">
                  <c:v>1.4281608064193785</c:v>
                </c:pt>
                <c:pt idx="604">
                  <c:v>1.3811925932332643</c:v>
                </c:pt>
                <c:pt idx="605">
                  <c:v>1.3320771292899607</c:v>
                </c:pt>
                <c:pt idx="606">
                  <c:v>1.2809136073410796</c:v>
                </c:pt>
                <c:pt idx="607">
                  <c:v>1.2278042273678</c:v>
                </c:pt>
                <c:pt idx="608">
                  <c:v>1.1728539989180671</c:v>
                </c:pt>
                <c:pt idx="609">
                  <c:v>1.1161705396867976</c:v>
                </c:pt>
                <c:pt idx="610">
                  <c:v>1.0578638707157426</c:v>
                </c:pt>
                <c:pt idx="611">
                  <c:v>0.99804620859322657</c:v>
                </c:pt>
                <c:pt idx="612">
                  <c:v>0.93683175503709271</c:v>
                </c:pt>
                <c:pt idx="613">
                  <c:v>0.87433648424635435</c:v>
                </c:pt>
                <c:pt idx="614">
                  <c:v>0.8106779284088157</c:v>
                </c:pt>
                <c:pt idx="615">
                  <c:v>0.74597496175276667</c:v>
                </c:pt>
                <c:pt idx="616">
                  <c:v>0.68034758353109481</c:v>
                </c:pt>
                <c:pt idx="617">
                  <c:v>0.61391670032572443</c:v>
                </c:pt>
                <c:pt idx="618">
                  <c:v>0.54680390805919199</c:v>
                </c:pt>
                <c:pt idx="619">
                  <c:v>0.47913127409834749</c:v>
                </c:pt>
                <c:pt idx="620">
                  <c:v>0.41102111983268058</c:v>
                </c:pt>
                <c:pt idx="621">
                  <c:v>0.34259580410667473</c:v>
                </c:pt>
                <c:pt idx="622">
                  <c:v>0.27397750788183889</c:v>
                </c:pt>
                <c:pt idx="623">
                  <c:v>0.20528802049963921</c:v>
                </c:pt>
                <c:pt idx="624">
                  <c:v>0.13664852791149568</c:v>
                </c:pt>
                <c:pt idx="625">
                  <c:v>6.817940323635982E-2</c:v>
                </c:pt>
                <c:pt idx="626">
                  <c:v>2.4609128677049127E-13</c:v>
                </c:pt>
                <c:pt idx="627">
                  <c:v>-6.7771551594931284E-2</c:v>
                </c:pt>
                <c:pt idx="628">
                  <c:v>-0.13501854503308539</c:v>
                </c:pt>
                <c:pt idx="629">
                  <c:v>-0.20162589414423662</c:v>
                </c:pt>
                <c:pt idx="630">
                  <c:v>-0.26748032573964492</c:v>
                </c:pt>
                <c:pt idx="631">
                  <c:v>-0.33247056790730534</c:v>
                </c:pt>
                <c:pt idx="632">
                  <c:v>-0.39648753366269385</c:v>
                </c:pt>
                <c:pt idx="633">
                  <c:v>-0.45942449965963916</c:v>
                </c:pt>
                <c:pt idx="634">
                  <c:v>-0.52117727967678673</c:v>
                </c:pt>
                <c:pt idx="635">
                  <c:v>-0.58164439260578937</c:v>
                </c:pt>
                <c:pt idx="636">
                  <c:v>-0.64072722467889665</c:v>
                </c:pt>
                <c:pt idx="637">
                  <c:v>-0.69833018568510175</c:v>
                </c:pt>
                <c:pt idx="638">
                  <c:v>-0.75436085893621529</c:v>
                </c:pt>
                <c:pt idx="639">
                  <c:v>-0.80873014475661975</c:v>
                </c:pt>
                <c:pt idx="640">
                  <c:v>-0.8613523972831626</c:v>
                </c:pt>
                <c:pt idx="641">
                  <c:v>-0.91214555437468636</c:v>
                </c:pt>
                <c:pt idx="642">
                  <c:v>-0.9610312604440423</c:v>
                </c:pt>
                <c:pt idx="643">
                  <c:v>-1.0079349820390273</c:v>
                </c:pt>
                <c:pt idx="644">
                  <c:v>-1.0527861160123109</c:v>
                </c:pt>
                <c:pt idx="645">
                  <c:v>-1.0955180901346522</c:v>
                </c:pt>
                <c:pt idx="646">
                  <c:v>-1.1360684560195908</c:v>
                </c:pt>
                <c:pt idx="647">
                  <c:v>-1.1743789742423718</c:v>
                </c:pt>
                <c:pt idx="648">
                  <c:v>-1.2103956915500236</c:v>
                </c:pt>
                <c:pt idx="649">
                  <c:v>-1.2440690100742879</c:v>
                </c:pt>
                <c:pt idx="650">
                  <c:v>-1.2753537484734379</c:v>
                </c:pt>
                <c:pt idx="651">
                  <c:v>-1.3042091949438894</c:v>
                </c:pt>
                <c:pt idx="652">
                  <c:v>-1.330599152056942</c:v>
                </c:pt>
                <c:pt idx="653">
                  <c:v>-1.3544919733908154</c:v>
                </c:pt>
                <c:pt idx="654">
                  <c:v>-1.3758605919425804</c:v>
                </c:pt>
                <c:pt idx="655">
                  <c:v>-1.394682540319272</c:v>
                </c:pt>
                <c:pt idx="656">
                  <c:v>-1.4109399627218357</c:v>
                </c:pt>
                <c:pt idx="657">
                  <c:v>-1.4246196187499265</c:v>
                </c:pt>
                <c:pt idx="658">
                  <c:v>-1.435712879069813</c:v>
                </c:pt>
                <c:pt idx="659">
                  <c:v>-1.4442157130016824</c:v>
                </c:pt>
                <c:pt idx="660">
                  <c:v>-1.4501286680964971</c:v>
                </c:pt>
                <c:pt idx="661">
                  <c:v>-1.4534568417862239</c:v>
                </c:pt>
                <c:pt idx="662">
                  <c:v>-1.4542098452047023</c:v>
                </c:pt>
                <c:pt idx="663">
                  <c:v>-1.4524017592895915</c:v>
                </c:pt>
                <c:pt idx="664">
                  <c:v>-1.4480510832887421</c:v>
                </c:pt>
                <c:pt idx="665">
                  <c:v>-1.4411806758069581</c:v>
                </c:pt>
                <c:pt idx="666">
                  <c:v>-1.431817688541424</c:v>
                </c:pt>
                <c:pt idx="667">
                  <c:v>-1.4199934928660189</c:v>
                </c:pt>
                <c:pt idx="668">
                  <c:v>-1.4057435994363721</c:v>
                </c:pt>
                <c:pt idx="669">
                  <c:v>-1.3891075709987484</c:v>
                </c:pt>
                <c:pt idx="670">
                  <c:v>-1.3701289285967098</c:v>
                </c:pt>
                <c:pt idx="671">
                  <c:v>-1.3488550513799251</c:v>
                </c:pt>
                <c:pt idx="672">
                  <c:v>-1.3253370702295679</c:v>
                </c:pt>
                <c:pt idx="673">
                  <c:v>-1.2996297554242757</c:v>
                </c:pt>
                <c:pt idx="674">
                  <c:v>-1.2717913985798428</c:v>
                </c:pt>
                <c:pt idx="675">
                  <c:v>-1.2418836891044165</c:v>
                </c:pt>
                <c:pt idx="676">
                  <c:v>-1.2099715854192574</c:v>
                </c:pt>
                <c:pt idx="677">
                  <c:v>-1.1761231812027138</c:v>
                </c:pt>
                <c:pt idx="678">
                  <c:v>-1.1404095669224024</c:v>
                </c:pt>
                <c:pt idx="679">
                  <c:v>-1.1029046869271435</c:v>
                </c:pt>
                <c:pt idx="680">
                  <c:v>-1.063685192376528</c:v>
                </c:pt>
                <c:pt idx="681">
                  <c:v>-1.0228302902914976</c:v>
                </c:pt>
                <c:pt idx="682">
                  <c:v>-0.98042158901458187</c:v>
                </c:pt>
                <c:pt idx="683">
                  <c:v>-0.93654294037293784</c:v>
                </c:pt>
                <c:pt idx="684">
                  <c:v>-0.89128027884138705</c:v>
                </c:pt>
                <c:pt idx="685">
                  <c:v>-0.84472145800616738</c:v>
                </c:pt>
                <c:pt idx="686">
                  <c:v>-0.79695608463307166</c:v>
                </c:pt>
                <c:pt idx="687">
                  <c:v>-0.74807535064600561</c:v>
                </c:pt>
                <c:pt idx="688">
                  <c:v>-0.69817186332384362</c:v>
                </c:pt>
                <c:pt idx="689">
                  <c:v>-0.6473394740247731</c:v>
                </c:pt>
                <c:pt idx="690">
                  <c:v>-0.59567310574807197</c:v>
                </c:pt>
                <c:pt idx="691">
                  <c:v>-0.54326857984340982</c:v>
                </c:pt>
                <c:pt idx="692">
                  <c:v>-0.49022244217741262</c:v>
                </c:pt>
                <c:pt idx="693">
                  <c:v>-0.43663178906636063</c:v>
                </c:pt>
                <c:pt idx="694">
                  <c:v>-0.38259409328246041</c:v>
                </c:pt>
                <c:pt idx="695">
                  <c:v>-0.32820703043912031</c:v>
                </c:pt>
                <c:pt idx="696">
                  <c:v>-0.27356830605817389</c:v>
                </c:pt>
                <c:pt idx="697">
                  <c:v>-0.21877548361900956</c:v>
                </c:pt>
                <c:pt idx="698">
                  <c:v>-0.16392581388605562</c:v>
                </c:pt>
                <c:pt idx="699">
                  <c:v>-0.10911606580700881</c:v>
                </c:pt>
                <c:pt idx="700">
                  <c:v>-5.4442359269652359E-2</c:v>
                </c:pt>
                <c:pt idx="701">
                  <c:v>-2.8185978154254769E-13</c:v>
                </c:pt>
                <c:pt idx="702">
                  <c:v>5.4116683118955788E-2</c:v>
                </c:pt>
                <c:pt idx="703">
                  <c:v>0.10781449804212796</c:v>
                </c:pt>
                <c:pt idx="704">
                  <c:v>0.16100154659595339</c:v>
                </c:pt>
                <c:pt idx="705">
                  <c:v>0.21358737830206556</c:v>
                </c:pt>
                <c:pt idx="706">
                  <c:v>0.26548314073404755</c:v>
                </c:pt>
                <c:pt idx="707">
                  <c:v>0.31660172616548576</c:v>
                </c:pt>
                <c:pt idx="708">
                  <c:v>0.36685791427355763</c:v>
                </c:pt>
                <c:pt idx="709">
                  <c:v>0.41616851067072735</c:v>
                </c:pt>
                <c:pt idx="710">
                  <c:v>0.46445248104609232</c:v>
                </c:pt>
                <c:pt idx="711">
                  <c:v>0.51163108070671104</c:v>
                </c:pt>
                <c:pt idx="712">
                  <c:v>0.55762797931873165</c:v>
                </c:pt>
                <c:pt idx="713">
                  <c:v>0.60236938065775136</c:v>
                </c:pt>
                <c:pt idx="714">
                  <c:v>0.64578413718771066</c:v>
                </c:pt>
                <c:pt idx="715">
                  <c:v>0.68780385929781251</c:v>
                </c:pt>
                <c:pt idx="716">
                  <c:v>0.72836301903738931</c:v>
                </c:pt>
                <c:pt idx="717">
                  <c:v>0.76739904819927618</c:v>
                </c:pt>
                <c:pt idx="718">
                  <c:v>0.80485243061304534</c:v>
                </c:pt>
                <c:pt idx="719">
                  <c:v>0.84066678852046806</c:v>
                </c:pt>
                <c:pt idx="720">
                  <c:v>0.87478896291676578</c:v>
                </c:pt>
                <c:pt idx="721">
                  <c:v>0.90716908775251925</c:v>
                </c:pt>
                <c:pt idx="722">
                  <c:v>0.93776065790248642</c:v>
                </c:pt>
                <c:pt idx="723">
                  <c:v>0.96652059081912389</c:v>
                </c:pt>
                <c:pt idx="724">
                  <c:v>0.99340928180020249</c:v>
                </c:pt>
                <c:pt idx="725">
                  <c:v>1.0183906528115705</c:v>
                </c:pt>
                <c:pt idx="726">
                  <c:v>1.0414321948177701</c:v>
                </c:pt>
                <c:pt idx="727">
                  <c:v>1.0625050035849122</c:v>
                </c:pt>
                <c:pt idx="728">
                  <c:v>1.0815838089319314</c:v>
                </c:pt>
                <c:pt idx="729">
                  <c:v>1.0986469974180015</c:v>
                </c:pt>
                <c:pt idx="730">
                  <c:v>1.1136766284654447</c:v>
                </c:pt>
                <c:pt idx="731">
                  <c:v>1.1266584439291185</c:v>
                </c:pt>
                <c:pt idx="732">
                  <c:v>1.1375818711346006</c:v>
                </c:pt>
                <c:pt idx="733">
                  <c:v>1.1464400194189532</c:v>
                </c:pt>
                <c:pt idx="734">
                  <c:v>1.1532296702189717</c:v>
                </c:pt>
                <c:pt idx="735">
                  <c:v>1.1579512607629803</c:v>
                </c:pt>
                <c:pt idx="736">
                  <c:v>1.160608861433079</c:v>
                </c:pt>
                <c:pt idx="737">
                  <c:v>1.1612101468755185</c:v>
                </c:pt>
                <c:pt idx="738">
                  <c:v>1.1597663609473954</c:v>
                </c:pt>
                <c:pt idx="739">
                  <c:v>1.1562922755981531</c:v>
                </c:pt>
                <c:pt idx="740">
                  <c:v>1.1508061437944661</c:v>
                </c:pt>
                <c:pt idx="741">
                  <c:v>1.1433296466069029</c:v>
                </c:pt>
                <c:pt idx="742">
                  <c:v>1.1338878345863106</c:v>
                </c:pt>
                <c:pt idx="743">
                  <c:v>1.1225090635671482</c:v>
                </c:pt>
                <c:pt idx="744">
                  <c:v>1.1092249250439663</c:v>
                </c:pt>
                <c:pt idx="745">
                  <c:v>1.0940701712759062</c:v>
                </c:pt>
                <c:pt idx="746">
                  <c:v>1.0770826352824119</c:v>
                </c:pt>
                <c:pt idx="747">
                  <c:v>1.0583031459013774</c:v>
                </c:pt>
                <c:pt idx="748">
                  <c:v>1.0377754380886013</c:v>
                </c:pt>
                <c:pt idx="749">
                  <c:v>1.0155460586447114</c:v>
                </c:pt>
                <c:pt idx="750">
                  <c:v>0.99166426756264414</c:v>
                </c:pt>
                <c:pt idx="751">
                  <c:v>0.96618193519531648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6-46B5-8406-55AF3B2FA7B6}"/>
            </c:ext>
          </c:extLst>
        </c:ser>
        <c:ser>
          <c:idx val="1"/>
          <c:order val="1"/>
          <c:tx>
            <c:v>every_5_wave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Sheet3!$Y$2:$Y$202</c:f>
              <c:numCache>
                <c:formatCode>General</c:formatCode>
                <c:ptCount val="201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56</c:v>
                </c:pt>
                <c:pt idx="12">
                  <c:v>61</c:v>
                </c:pt>
                <c:pt idx="13">
                  <c:v>66</c:v>
                </c:pt>
                <c:pt idx="14">
                  <c:v>71</c:v>
                </c:pt>
                <c:pt idx="15">
                  <c:v>76</c:v>
                </c:pt>
                <c:pt idx="16">
                  <c:v>81</c:v>
                </c:pt>
                <c:pt idx="17">
                  <c:v>86</c:v>
                </c:pt>
                <c:pt idx="18">
                  <c:v>91</c:v>
                </c:pt>
                <c:pt idx="19">
                  <c:v>96</c:v>
                </c:pt>
                <c:pt idx="20">
                  <c:v>101</c:v>
                </c:pt>
                <c:pt idx="21">
                  <c:v>106</c:v>
                </c:pt>
                <c:pt idx="22">
                  <c:v>111</c:v>
                </c:pt>
                <c:pt idx="23">
                  <c:v>116</c:v>
                </c:pt>
                <c:pt idx="24">
                  <c:v>121</c:v>
                </c:pt>
                <c:pt idx="25">
                  <c:v>126</c:v>
                </c:pt>
                <c:pt idx="26">
                  <c:v>131</c:v>
                </c:pt>
                <c:pt idx="27">
                  <c:v>136</c:v>
                </c:pt>
                <c:pt idx="28">
                  <c:v>141</c:v>
                </c:pt>
                <c:pt idx="29">
                  <c:v>146</c:v>
                </c:pt>
                <c:pt idx="30">
                  <c:v>151</c:v>
                </c:pt>
                <c:pt idx="31">
                  <c:v>156</c:v>
                </c:pt>
                <c:pt idx="32">
                  <c:v>161</c:v>
                </c:pt>
                <c:pt idx="33">
                  <c:v>166</c:v>
                </c:pt>
                <c:pt idx="34">
                  <c:v>171</c:v>
                </c:pt>
                <c:pt idx="35">
                  <c:v>176</c:v>
                </c:pt>
                <c:pt idx="36">
                  <c:v>181</c:v>
                </c:pt>
                <c:pt idx="37">
                  <c:v>186</c:v>
                </c:pt>
                <c:pt idx="38">
                  <c:v>191</c:v>
                </c:pt>
                <c:pt idx="39">
                  <c:v>196</c:v>
                </c:pt>
                <c:pt idx="40">
                  <c:v>201</c:v>
                </c:pt>
                <c:pt idx="41">
                  <c:v>206</c:v>
                </c:pt>
                <c:pt idx="42">
                  <c:v>211</c:v>
                </c:pt>
                <c:pt idx="43">
                  <c:v>216</c:v>
                </c:pt>
                <c:pt idx="44">
                  <c:v>221</c:v>
                </c:pt>
                <c:pt idx="45">
                  <c:v>226</c:v>
                </c:pt>
                <c:pt idx="46">
                  <c:v>231</c:v>
                </c:pt>
                <c:pt idx="47">
                  <c:v>236</c:v>
                </c:pt>
                <c:pt idx="48">
                  <c:v>241</c:v>
                </c:pt>
                <c:pt idx="49">
                  <c:v>246</c:v>
                </c:pt>
                <c:pt idx="50">
                  <c:v>251</c:v>
                </c:pt>
                <c:pt idx="51">
                  <c:v>256</c:v>
                </c:pt>
                <c:pt idx="52">
                  <c:v>261</c:v>
                </c:pt>
                <c:pt idx="53">
                  <c:v>266</c:v>
                </c:pt>
                <c:pt idx="54">
                  <c:v>271</c:v>
                </c:pt>
                <c:pt idx="55">
                  <c:v>276</c:v>
                </c:pt>
                <c:pt idx="56">
                  <c:v>281</c:v>
                </c:pt>
                <c:pt idx="57">
                  <c:v>286</c:v>
                </c:pt>
                <c:pt idx="58">
                  <c:v>291</c:v>
                </c:pt>
                <c:pt idx="59">
                  <c:v>296</c:v>
                </c:pt>
                <c:pt idx="60">
                  <c:v>301</c:v>
                </c:pt>
                <c:pt idx="61">
                  <c:v>306</c:v>
                </c:pt>
                <c:pt idx="62">
                  <c:v>311</c:v>
                </c:pt>
                <c:pt idx="63">
                  <c:v>316</c:v>
                </c:pt>
                <c:pt idx="64">
                  <c:v>321</c:v>
                </c:pt>
                <c:pt idx="65">
                  <c:v>326</c:v>
                </c:pt>
                <c:pt idx="66">
                  <c:v>331</c:v>
                </c:pt>
                <c:pt idx="67">
                  <c:v>336</c:v>
                </c:pt>
                <c:pt idx="68">
                  <c:v>341</c:v>
                </c:pt>
                <c:pt idx="69">
                  <c:v>346</c:v>
                </c:pt>
                <c:pt idx="70">
                  <c:v>351</c:v>
                </c:pt>
                <c:pt idx="71">
                  <c:v>356</c:v>
                </c:pt>
                <c:pt idx="72">
                  <c:v>361</c:v>
                </c:pt>
                <c:pt idx="73">
                  <c:v>366</c:v>
                </c:pt>
                <c:pt idx="74">
                  <c:v>371</c:v>
                </c:pt>
                <c:pt idx="75">
                  <c:v>376</c:v>
                </c:pt>
                <c:pt idx="76">
                  <c:v>381</c:v>
                </c:pt>
                <c:pt idx="77">
                  <c:v>386</c:v>
                </c:pt>
                <c:pt idx="78">
                  <c:v>391</c:v>
                </c:pt>
                <c:pt idx="79">
                  <c:v>396</c:v>
                </c:pt>
                <c:pt idx="80">
                  <c:v>401</c:v>
                </c:pt>
                <c:pt idx="81">
                  <c:v>406</c:v>
                </c:pt>
                <c:pt idx="82">
                  <c:v>411</c:v>
                </c:pt>
                <c:pt idx="83">
                  <c:v>416</c:v>
                </c:pt>
                <c:pt idx="84">
                  <c:v>421</c:v>
                </c:pt>
                <c:pt idx="85">
                  <c:v>426</c:v>
                </c:pt>
                <c:pt idx="86">
                  <c:v>431</c:v>
                </c:pt>
                <c:pt idx="87">
                  <c:v>436</c:v>
                </c:pt>
                <c:pt idx="88">
                  <c:v>441</c:v>
                </c:pt>
                <c:pt idx="89">
                  <c:v>446</c:v>
                </c:pt>
                <c:pt idx="90">
                  <c:v>451</c:v>
                </c:pt>
                <c:pt idx="91">
                  <c:v>456</c:v>
                </c:pt>
                <c:pt idx="92">
                  <c:v>461</c:v>
                </c:pt>
                <c:pt idx="93">
                  <c:v>466</c:v>
                </c:pt>
                <c:pt idx="94">
                  <c:v>471</c:v>
                </c:pt>
                <c:pt idx="95">
                  <c:v>476</c:v>
                </c:pt>
                <c:pt idx="96">
                  <c:v>481</c:v>
                </c:pt>
                <c:pt idx="97">
                  <c:v>486</c:v>
                </c:pt>
                <c:pt idx="98">
                  <c:v>491</c:v>
                </c:pt>
                <c:pt idx="99">
                  <c:v>496</c:v>
                </c:pt>
                <c:pt idx="100">
                  <c:v>501</c:v>
                </c:pt>
                <c:pt idx="101">
                  <c:v>506</c:v>
                </c:pt>
                <c:pt idx="102">
                  <c:v>511</c:v>
                </c:pt>
                <c:pt idx="103">
                  <c:v>516</c:v>
                </c:pt>
                <c:pt idx="104">
                  <c:v>521</c:v>
                </c:pt>
                <c:pt idx="105">
                  <c:v>526</c:v>
                </c:pt>
                <c:pt idx="106">
                  <c:v>531</c:v>
                </c:pt>
                <c:pt idx="107">
                  <c:v>536</c:v>
                </c:pt>
                <c:pt idx="108">
                  <c:v>541</c:v>
                </c:pt>
                <c:pt idx="109">
                  <c:v>546</c:v>
                </c:pt>
                <c:pt idx="110">
                  <c:v>551</c:v>
                </c:pt>
                <c:pt idx="111">
                  <c:v>556</c:v>
                </c:pt>
                <c:pt idx="112">
                  <c:v>561</c:v>
                </c:pt>
                <c:pt idx="113">
                  <c:v>566</c:v>
                </c:pt>
                <c:pt idx="114">
                  <c:v>571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591</c:v>
                </c:pt>
                <c:pt idx="119">
                  <c:v>596</c:v>
                </c:pt>
                <c:pt idx="120">
                  <c:v>601</c:v>
                </c:pt>
                <c:pt idx="121">
                  <c:v>606</c:v>
                </c:pt>
                <c:pt idx="122">
                  <c:v>611</c:v>
                </c:pt>
                <c:pt idx="123">
                  <c:v>616</c:v>
                </c:pt>
                <c:pt idx="124">
                  <c:v>621</c:v>
                </c:pt>
                <c:pt idx="125">
                  <c:v>626</c:v>
                </c:pt>
                <c:pt idx="126">
                  <c:v>631</c:v>
                </c:pt>
                <c:pt idx="127">
                  <c:v>636</c:v>
                </c:pt>
                <c:pt idx="128">
                  <c:v>641</c:v>
                </c:pt>
                <c:pt idx="129">
                  <c:v>646</c:v>
                </c:pt>
                <c:pt idx="130">
                  <c:v>651</c:v>
                </c:pt>
                <c:pt idx="131">
                  <c:v>656</c:v>
                </c:pt>
                <c:pt idx="132">
                  <c:v>661</c:v>
                </c:pt>
                <c:pt idx="133">
                  <c:v>666</c:v>
                </c:pt>
                <c:pt idx="134">
                  <c:v>671</c:v>
                </c:pt>
                <c:pt idx="135">
                  <c:v>676</c:v>
                </c:pt>
                <c:pt idx="136">
                  <c:v>681</c:v>
                </c:pt>
                <c:pt idx="137">
                  <c:v>686</c:v>
                </c:pt>
                <c:pt idx="138">
                  <c:v>691</c:v>
                </c:pt>
                <c:pt idx="139">
                  <c:v>696</c:v>
                </c:pt>
                <c:pt idx="140">
                  <c:v>701</c:v>
                </c:pt>
                <c:pt idx="141">
                  <c:v>706</c:v>
                </c:pt>
                <c:pt idx="142">
                  <c:v>711</c:v>
                </c:pt>
                <c:pt idx="143">
                  <c:v>716</c:v>
                </c:pt>
                <c:pt idx="144">
                  <c:v>721</c:v>
                </c:pt>
                <c:pt idx="145">
                  <c:v>726</c:v>
                </c:pt>
                <c:pt idx="146">
                  <c:v>731</c:v>
                </c:pt>
                <c:pt idx="147">
                  <c:v>736</c:v>
                </c:pt>
                <c:pt idx="148">
                  <c:v>741</c:v>
                </c:pt>
                <c:pt idx="149">
                  <c:v>746</c:v>
                </c:pt>
                <c:pt idx="150">
                  <c:v>751</c:v>
                </c:pt>
                <c:pt idx="151">
                  <c:v>756</c:v>
                </c:pt>
                <c:pt idx="152">
                  <c:v>761</c:v>
                </c:pt>
                <c:pt idx="153">
                  <c:v>766</c:v>
                </c:pt>
                <c:pt idx="154">
                  <c:v>771</c:v>
                </c:pt>
                <c:pt idx="155">
                  <c:v>776</c:v>
                </c:pt>
                <c:pt idx="156">
                  <c:v>781</c:v>
                </c:pt>
                <c:pt idx="157">
                  <c:v>786</c:v>
                </c:pt>
                <c:pt idx="158">
                  <c:v>791</c:v>
                </c:pt>
                <c:pt idx="159">
                  <c:v>796</c:v>
                </c:pt>
                <c:pt idx="160">
                  <c:v>801</c:v>
                </c:pt>
                <c:pt idx="161">
                  <c:v>806</c:v>
                </c:pt>
                <c:pt idx="162">
                  <c:v>811</c:v>
                </c:pt>
                <c:pt idx="163">
                  <c:v>816</c:v>
                </c:pt>
                <c:pt idx="164">
                  <c:v>821</c:v>
                </c:pt>
                <c:pt idx="165">
                  <c:v>826</c:v>
                </c:pt>
                <c:pt idx="166">
                  <c:v>831</c:v>
                </c:pt>
                <c:pt idx="167">
                  <c:v>836</c:v>
                </c:pt>
                <c:pt idx="168">
                  <c:v>841</c:v>
                </c:pt>
                <c:pt idx="169">
                  <c:v>846</c:v>
                </c:pt>
                <c:pt idx="170">
                  <c:v>851</c:v>
                </c:pt>
                <c:pt idx="171">
                  <c:v>856</c:v>
                </c:pt>
                <c:pt idx="172">
                  <c:v>861</c:v>
                </c:pt>
                <c:pt idx="173">
                  <c:v>866</c:v>
                </c:pt>
                <c:pt idx="174">
                  <c:v>871</c:v>
                </c:pt>
                <c:pt idx="175">
                  <c:v>876</c:v>
                </c:pt>
                <c:pt idx="176">
                  <c:v>881</c:v>
                </c:pt>
                <c:pt idx="177">
                  <c:v>886</c:v>
                </c:pt>
                <c:pt idx="178">
                  <c:v>891</c:v>
                </c:pt>
                <c:pt idx="179">
                  <c:v>896</c:v>
                </c:pt>
                <c:pt idx="180">
                  <c:v>901</c:v>
                </c:pt>
                <c:pt idx="181">
                  <c:v>906</c:v>
                </c:pt>
                <c:pt idx="182">
                  <c:v>911</c:v>
                </c:pt>
                <c:pt idx="183">
                  <c:v>916</c:v>
                </c:pt>
                <c:pt idx="184">
                  <c:v>921</c:v>
                </c:pt>
                <c:pt idx="185">
                  <c:v>926</c:v>
                </c:pt>
                <c:pt idx="186">
                  <c:v>931</c:v>
                </c:pt>
                <c:pt idx="187">
                  <c:v>936</c:v>
                </c:pt>
                <c:pt idx="188">
                  <c:v>941</c:v>
                </c:pt>
                <c:pt idx="189">
                  <c:v>946</c:v>
                </c:pt>
                <c:pt idx="190">
                  <c:v>951</c:v>
                </c:pt>
                <c:pt idx="191">
                  <c:v>956</c:v>
                </c:pt>
                <c:pt idx="192">
                  <c:v>961</c:v>
                </c:pt>
                <c:pt idx="193">
                  <c:v>966</c:v>
                </c:pt>
                <c:pt idx="194">
                  <c:v>971</c:v>
                </c:pt>
                <c:pt idx="195">
                  <c:v>976</c:v>
                </c:pt>
                <c:pt idx="196">
                  <c:v>981</c:v>
                </c:pt>
                <c:pt idx="197">
                  <c:v>986</c:v>
                </c:pt>
                <c:pt idx="198">
                  <c:v>991</c:v>
                </c:pt>
                <c:pt idx="199">
                  <c:v>996</c:v>
                </c:pt>
                <c:pt idx="200">
                  <c:v>1001</c:v>
                </c:pt>
              </c:numCache>
            </c:numRef>
          </c:xVal>
          <c:yVal>
            <c:numRef>
              <c:f>Sheet3!$AB$2:$AB$202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0.82389740609808326</c:v>
                </c:pt>
                <c:pt idx="52">
                  <c:v>1.7915908581837463</c:v>
                </c:pt>
                <c:pt idx="53">
                  <c:v>2.6531521669681624</c:v>
                </c:pt>
                <c:pt idx="54">
                  <c:v>3.3744332795277709</c:v>
                </c:pt>
                <c:pt idx="55">
                  <c:v>3.9283661043790357</c:v>
                </c:pt>
                <c:pt idx="56">
                  <c:v>4.2959246595834495</c:v>
                </c:pt>
                <c:pt idx="57">
                  <c:v>4.4667107565699551</c:v>
                </c:pt>
                <c:pt idx="58">
                  <c:v>4.4391489999555569</c:v>
                </c:pt>
                <c:pt idx="59">
                  <c:v>4.2202942110533144</c:v>
                </c:pt>
                <c:pt idx="60">
                  <c:v>3.8252710635754656</c:v>
                </c:pt>
                <c:pt idx="61">
                  <c:v>3.2763810515022134</c:v>
                </c:pt>
                <c:pt idx="62">
                  <c:v>2.60192526759249</c:v>
                </c:pt>
                <c:pt idx="63">
                  <c:v>1.8348023367717472</c:v>
                </c:pt>
                <c:pt idx="64">
                  <c:v>1.0109488250910885</c:v>
                </c:pt>
                <c:pt idx="65">
                  <c:v>0.16769427231636155</c:v>
                </c:pt>
                <c:pt idx="66">
                  <c:v>-0.65789544136310751</c:v>
                </c:pt>
                <c:pt idx="67">
                  <c:v>-1.4306143576407584</c:v>
                </c:pt>
                <c:pt idx="68">
                  <c:v>-2.1185850361606722</c:v>
                </c:pt>
                <c:pt idx="69">
                  <c:v>-2.6945397028243248</c:v>
                </c:pt>
                <c:pt idx="70">
                  <c:v>-3.136864047571255</c:v>
                </c:pt>
                <c:pt idx="71">
                  <c:v>-3.4303655152457435</c:v>
                </c:pt>
                <c:pt idx="72">
                  <c:v>-3.5667409836280775</c:v>
                </c:pt>
                <c:pt idx="73">
                  <c:v>-3.5447324739539794</c:v>
                </c:pt>
                <c:pt idx="74">
                  <c:v>-3.3699733754623775</c:v>
                </c:pt>
                <c:pt idx="75">
                  <c:v>-3.0545409854159375</c:v>
                </c:pt>
                <c:pt idx="76">
                  <c:v>-2.6162434084604125</c:v>
                </c:pt>
                <c:pt idx="77">
                  <c:v>-2.077679526172429</c:v>
                </c:pt>
                <c:pt idx="78">
                  <c:v>-1.4651194241298382</c:v>
                </c:pt>
                <c:pt idx="79">
                  <c:v>-0.80725903317095982</c:v>
                </c:pt>
                <c:pt idx="80">
                  <c:v>-0.13390659623765677</c:v>
                </c:pt>
                <c:pt idx="81">
                  <c:v>0.5253401801763079</c:v>
                </c:pt>
                <c:pt idx="82">
                  <c:v>1.142368767366182</c:v>
                </c:pt>
                <c:pt idx="83">
                  <c:v>1.6917245121952242</c:v>
                </c:pt>
                <c:pt idx="84">
                  <c:v>2.1516336547962993</c:v>
                </c:pt>
                <c:pt idx="85">
                  <c:v>2.5048368180288367</c:v>
                </c:pt>
                <c:pt idx="86">
                  <c:v>2.7392025001965954</c:v>
                </c:pt>
                <c:pt idx="87">
                  <c:v>2.8481005235407948</c:v>
                </c:pt>
                <c:pt idx="88">
                  <c:v>2.8305263716153033</c:v>
                </c:pt>
                <c:pt idx="89">
                  <c:v>2.6909783970939904</c:v>
                </c:pt>
                <c:pt idx="90">
                  <c:v>2.439100517719873</c:v>
                </c:pt>
                <c:pt idx="91">
                  <c:v>2.0891127938779577</c:v>
                </c:pt>
                <c:pt idx="92">
                  <c:v>1.6590607990329966</c:v>
                </c:pt>
                <c:pt idx="93">
                  <c:v>1.169921622587101</c:v>
                </c:pt>
                <c:pt idx="94">
                  <c:v>0.64460943072706678</c:v>
                </c:pt>
                <c:pt idx="95">
                  <c:v>0.10692658889468942</c:v>
                </c:pt>
                <c:pt idx="96">
                  <c:v>-0.41949265423669624</c:v>
                </c:pt>
                <c:pt idx="97">
                  <c:v>-0.91219998854598616</c:v>
                </c:pt>
                <c:pt idx="98">
                  <c:v>-1.3508694606606149</c:v>
                </c:pt>
                <c:pt idx="99">
                  <c:v>-1.7181143701833002</c:v>
                </c:pt>
                <c:pt idx="100">
                  <c:v>-2.0001528245416087</c:v>
                </c:pt>
                <c:pt idx="101">
                  <c:v>-2.1872976228731855</c:v>
                </c:pt>
                <c:pt idx="102">
                  <c:v>-2.2742544607043884</c:v>
                </c:pt>
                <c:pt idx="103">
                  <c:v>-2.2602212153609686</c:v>
                </c:pt>
                <c:pt idx="104">
                  <c:v>-2.1487898944107093</c:v>
                </c:pt>
                <c:pt idx="105">
                  <c:v>-1.9476613225837887</c:v>
                </c:pt>
                <c:pt idx="106">
                  <c:v>-1.6681904487293659</c:v>
                </c:pt>
                <c:pt idx="107">
                  <c:v>-1.3247869559358587</c:v>
                </c:pt>
                <c:pt idx="108">
                  <c:v>-0.93420139031321525</c:v>
                </c:pt>
                <c:pt idx="109">
                  <c:v>-0.51473108520094979</c:v>
                </c:pt>
                <c:pt idx="110">
                  <c:v>-8.5382615449160343E-2</c:v>
                </c:pt>
                <c:pt idx="111">
                  <c:v>0.33497168805828909</c:v>
                </c:pt>
                <c:pt idx="112">
                  <c:v>0.72840648560596699</c:v>
                </c:pt>
                <c:pt idx="113">
                  <c:v>1.0786911737641314</c:v>
                </c:pt>
                <c:pt idx="114">
                  <c:v>1.371942190274833</c:v>
                </c:pt>
                <c:pt idx="115">
                  <c:v>1.5971544703937921</c:v>
                </c:pt>
                <c:pt idx="116">
                  <c:v>1.7465926271180348</c:v>
                </c:pt>
                <c:pt idx="117">
                  <c:v>1.816029072458305</c:v>
                </c:pt>
                <c:pt idx="118">
                  <c:v>1.8048232984497805</c:v>
                </c:pt>
                <c:pt idx="119">
                  <c:v>1.7158435813932411</c:v>
                </c:pt>
                <c:pt idx="120">
                  <c:v>1.5552391547335567</c:v>
                </c:pt>
                <c:pt idx="121">
                  <c:v>1.3320771292899607</c:v>
                </c:pt>
                <c:pt idx="122">
                  <c:v>1.0578638707157426</c:v>
                </c:pt>
                <c:pt idx="123">
                  <c:v>0.74597496175276667</c:v>
                </c:pt>
                <c:pt idx="124">
                  <c:v>0.41102111983268058</c:v>
                </c:pt>
                <c:pt idx="125">
                  <c:v>6.817940323635982E-2</c:v>
                </c:pt>
                <c:pt idx="126">
                  <c:v>-0.26748032573964492</c:v>
                </c:pt>
                <c:pt idx="127">
                  <c:v>-0.58164439260578937</c:v>
                </c:pt>
                <c:pt idx="128">
                  <c:v>-0.8613523972831626</c:v>
                </c:pt>
                <c:pt idx="129">
                  <c:v>-1.0955180901346522</c:v>
                </c:pt>
                <c:pt idx="130">
                  <c:v>-1.2753537484734379</c:v>
                </c:pt>
                <c:pt idx="131">
                  <c:v>-1.394682540319272</c:v>
                </c:pt>
                <c:pt idx="132">
                  <c:v>-1.4501286680964971</c:v>
                </c:pt>
                <c:pt idx="133">
                  <c:v>-1.4411806758069581</c:v>
                </c:pt>
                <c:pt idx="134">
                  <c:v>-1.3701289285967098</c:v>
                </c:pt>
                <c:pt idx="135">
                  <c:v>-1.2418836891044165</c:v>
                </c:pt>
                <c:pt idx="136">
                  <c:v>-1.063685192376528</c:v>
                </c:pt>
                <c:pt idx="137">
                  <c:v>-0.84472145800616738</c:v>
                </c:pt>
                <c:pt idx="138">
                  <c:v>-0.59567310574807197</c:v>
                </c:pt>
                <c:pt idx="139">
                  <c:v>-0.32820703043912031</c:v>
                </c:pt>
                <c:pt idx="140">
                  <c:v>-5.4442359269652359E-2</c:v>
                </c:pt>
                <c:pt idx="141">
                  <c:v>0.21358737830206556</c:v>
                </c:pt>
                <c:pt idx="142">
                  <c:v>0.46445248104609232</c:v>
                </c:pt>
                <c:pt idx="143">
                  <c:v>0.68780385929781251</c:v>
                </c:pt>
                <c:pt idx="144">
                  <c:v>0.87478896291676578</c:v>
                </c:pt>
                <c:pt idx="145">
                  <c:v>1.0183906528115705</c:v>
                </c:pt>
                <c:pt idx="146">
                  <c:v>1.1136766284654447</c:v>
                </c:pt>
                <c:pt idx="147">
                  <c:v>1.1579512607629803</c:v>
                </c:pt>
                <c:pt idx="148">
                  <c:v>1.1508061437944661</c:v>
                </c:pt>
                <c:pt idx="149">
                  <c:v>1.0940701712759062</c:v>
                </c:pt>
                <c:pt idx="150">
                  <c:v>0.99166426756264414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6-46B5-8406-55AF3B2FA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225456"/>
        <c:axId val="314221136"/>
      </c:scatterChart>
      <c:valAx>
        <c:axId val="31422545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1136"/>
        <c:crosses val="autoZero"/>
        <c:crossBetween val="midCat"/>
      </c:valAx>
      <c:valAx>
        <c:axId val="31422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2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156882</xdr:colOff>
      <xdr:row>0</xdr:row>
      <xdr:rowOff>154361</xdr:rowOff>
    </xdr:from>
    <xdr:to>
      <xdr:col>31</xdr:col>
      <xdr:colOff>461682</xdr:colOff>
      <xdr:row>15</xdr:row>
      <xdr:rowOff>40061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FDEE5-16E6-014F-D359-84FCF9C07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9</xdr:row>
      <xdr:rowOff>57150</xdr:rowOff>
    </xdr:from>
    <xdr:to>
      <xdr:col>17</xdr:col>
      <xdr:colOff>247650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CBA9F0-A39C-463E-A083-9B9E3AF51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571500</xdr:colOff>
      <xdr:row>20</xdr:row>
      <xdr:rowOff>179295</xdr:rowOff>
    </xdr:from>
    <xdr:to>
      <xdr:col>31</xdr:col>
      <xdr:colOff>266700</xdr:colOff>
      <xdr:row>35</xdr:row>
      <xdr:rowOff>64995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A98F22-1252-4439-8A89-178956B7A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17</xdr:col>
      <xdr:colOff>300317</xdr:colOff>
      <xdr:row>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B90233-5F26-41BB-94FF-26CE3431A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36</xdr:row>
      <xdr:rowOff>0</xdr:rowOff>
    </xdr:from>
    <xdr:to>
      <xdr:col>31</xdr:col>
      <xdr:colOff>304800</xdr:colOff>
      <xdr:row>50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F068E6-104E-46BF-8055-84641BA5F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52</xdr:row>
      <xdr:rowOff>0</xdr:rowOff>
    </xdr:from>
    <xdr:to>
      <xdr:col>31</xdr:col>
      <xdr:colOff>300318</xdr:colOff>
      <xdr:row>66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A982FD-DB09-4F91-806E-8C41D022B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67</xdr:row>
      <xdr:rowOff>0</xdr:rowOff>
    </xdr:from>
    <xdr:to>
      <xdr:col>31</xdr:col>
      <xdr:colOff>300318</xdr:colOff>
      <xdr:row>81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77E11F-3652-4FD6-8A07-3B188E0D4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31</xdr:col>
      <xdr:colOff>300318</xdr:colOff>
      <xdr:row>96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3F4E6E-41A6-487E-A616-05A500095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219635</xdr:colOff>
      <xdr:row>2</xdr:row>
      <xdr:rowOff>161365</xdr:rowOff>
    </xdr:from>
    <xdr:to>
      <xdr:col>54</xdr:col>
      <xdr:colOff>519952</xdr:colOff>
      <xdr:row>24</xdr:row>
      <xdr:rowOff>125506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A6066D-78F1-8EE3-A196-73C06AB9D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490537</xdr:colOff>
      <xdr:row>3</xdr:row>
      <xdr:rowOff>71437</xdr:rowOff>
    </xdr:from>
    <xdr:to>
      <xdr:col>13</xdr:col>
      <xdr:colOff>185737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03B52-36A9-73E0-0B1D-7D2881131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178DA0-ACBD-4021-A9EE-24F9EE0A6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559117</xdr:colOff>
      <xdr:row>3</xdr:row>
      <xdr:rowOff>71437</xdr:rowOff>
    </xdr:from>
    <xdr:to>
      <xdr:col>41</xdr:col>
      <xdr:colOff>254317</xdr:colOff>
      <xdr:row>17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0766C1-3382-2278-0FC3-1149392BE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563880</xdr:colOff>
      <xdr:row>18</xdr:row>
      <xdr:rowOff>144780</xdr:rowOff>
    </xdr:from>
    <xdr:to>
      <xdr:col>41</xdr:col>
      <xdr:colOff>259080</xdr:colOff>
      <xdr:row>33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18F4DC-E1DF-4828-8EBA-36BD2EBA4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502920</xdr:colOff>
      <xdr:row>1</xdr:row>
      <xdr:rowOff>76200</xdr:rowOff>
    </xdr:from>
    <xdr:to>
      <xdr:col>36</xdr:col>
      <xdr:colOff>114300</xdr:colOff>
      <xdr:row>25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1D7F03-368C-D41F-E614-512DA3D78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26</xdr:row>
      <xdr:rowOff>0</xdr:rowOff>
    </xdr:from>
    <xdr:to>
      <xdr:col>36</xdr:col>
      <xdr:colOff>220980</xdr:colOff>
      <xdr:row>49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1535ED-25A0-451A-B9A5-E60E0E16E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566737</xdr:colOff>
      <xdr:row>2</xdr:row>
      <xdr:rowOff>23812</xdr:rowOff>
    </xdr:from>
    <xdr:to>
      <xdr:col>22</xdr:col>
      <xdr:colOff>542925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8DAF6-BFFE-8DE8-0D13-C68B86B8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013E-D7D4-4587-A94C-CC9B9D88CEBE}">
  <dimension ref="A1:AP202"/>
  <sheetViews>
    <sheetView tabSelected="1" topLeftCell="V1" zoomScale="85" zoomScaleNormal="85" workbookViewId="0">
      <selection activeCell="BC26" sqref="BC26"/>
    </sheetView>
  </sheetViews>
  <sheetFormatPr defaultRowHeight="14.4" x14ac:dyDescent="0.3"/>
  <cols>
    <col min="5" max="5" width="12.88671875" bestFit="1" customWidth="1"/>
    <col min="7" max="7" width="12.6640625" bestFit="1" customWidth="1"/>
  </cols>
  <sheetData>
    <row r="1" spans="1:42" x14ac:dyDescent="0.3">
      <c r="A1" t="s">
        <v>14</v>
      </c>
      <c r="B1" t="s">
        <v>12</v>
      </c>
      <c r="C1" t="s">
        <v>13</v>
      </c>
      <c r="D1" t="s">
        <v>0</v>
      </c>
      <c r="E1" t="s">
        <v>11</v>
      </c>
      <c r="F1" t="s">
        <v>2</v>
      </c>
      <c r="G1" t="s">
        <v>5</v>
      </c>
      <c r="H1" t="s">
        <v>9</v>
      </c>
      <c r="I1" t="s">
        <v>15</v>
      </c>
      <c r="J1" t="s">
        <v>6</v>
      </c>
      <c r="N1" t="s">
        <v>7</v>
      </c>
      <c r="T1" t="s">
        <v>16</v>
      </c>
      <c r="U1" t="s">
        <v>18</v>
      </c>
      <c r="V1" t="s">
        <v>7</v>
      </c>
      <c r="W1" t="s">
        <v>19</v>
      </c>
      <c r="AK1" t="s">
        <v>37</v>
      </c>
      <c r="AL1" t="s">
        <v>38</v>
      </c>
    </row>
    <row r="2" spans="1:42" x14ac:dyDescent="0.3">
      <c r="A2">
        <v>0</v>
      </c>
      <c r="B2">
        <v>0</v>
      </c>
      <c r="C2">
        <v>0</v>
      </c>
      <c r="D2">
        <f>SIN(B2)</f>
        <v>0</v>
      </c>
      <c r="E2">
        <f>SIN(B2-(PI()/4))</f>
        <v>-0.70710678118654746</v>
      </c>
      <c r="F2">
        <f>($J$3*EXP(-$K$3*B2)*SIN(2*PI()*B2/$L$3)+$M$3)</f>
        <v>0</v>
      </c>
      <c r="G2">
        <f>($N$3*EXP(-$O$3*C2)*SIN(2*PI()*C2/$P$3)+$Q$3)</f>
        <v>0</v>
      </c>
      <c r="H2">
        <f>F2+G2</f>
        <v>0</v>
      </c>
      <c r="I2">
        <f>H2*2</f>
        <v>0</v>
      </c>
      <c r="J2" t="s">
        <v>4</v>
      </c>
      <c r="K2" t="s">
        <v>1</v>
      </c>
      <c r="L2" t="s">
        <v>3</v>
      </c>
      <c r="M2" t="s">
        <v>8</v>
      </c>
      <c r="N2" t="s">
        <v>4</v>
      </c>
      <c r="O2" t="s">
        <v>1</v>
      </c>
      <c r="P2" t="s">
        <v>3</v>
      </c>
      <c r="Q2" t="s">
        <v>8</v>
      </c>
      <c r="R2" t="s">
        <v>10</v>
      </c>
      <c r="T2">
        <f>D2+E2</f>
        <v>-0.70710678118654746</v>
      </c>
      <c r="U2">
        <v>-4.9318982430521727E-18</v>
      </c>
      <c r="V2">
        <v>4.2933247093580752E-3</v>
      </c>
      <c r="W2">
        <v>0</v>
      </c>
      <c r="AJ2">
        <f>($J$3*EXP(-$K$3*B2)*SIN(2*PI()*B2/$L$3)+$M$3)</f>
        <v>0</v>
      </c>
      <c r="AK2">
        <f>($J$3*EXP(-$K$3*B2))</f>
        <v>5</v>
      </c>
      <c r="AL2">
        <f>(SIN(2*PI()*B2/$L$3)+$M$3)</f>
        <v>0</v>
      </c>
    </row>
    <row r="3" spans="1:42" x14ac:dyDescent="0.3">
      <c r="A3">
        <v>0.1</v>
      </c>
      <c r="B3">
        <v>0.1</v>
      </c>
      <c r="C3">
        <v>0</v>
      </c>
      <c r="D3">
        <f>SIN(B3)</f>
        <v>9.9833416646828155E-2</v>
      </c>
      <c r="E3">
        <f t="shared" ref="E3:E66" si="0">SIN(B3-(PI()/4))</f>
        <v>-0.63298130667695818</v>
      </c>
      <c r="F3">
        <f t="shared" ref="F3:F66" si="1">($J$3*EXP(-$K$3*B3)*SIN(2*PI()*B3/$L$3)+$M$3)</f>
        <v>2.8520678638645678</v>
      </c>
      <c r="G3">
        <f t="shared" ref="G3:G66" si="2">($N$3*EXP(-$O$3*C3)*SIN(2*PI()*C3/$P$3)+$Q$3)</f>
        <v>0</v>
      </c>
      <c r="H3">
        <f t="shared" ref="H3:H66" si="3">F3+G3</f>
        <v>2.8520678638645678</v>
      </c>
      <c r="I3">
        <f t="shared" ref="I3:I66" si="4">H3*2</f>
        <v>5.7041357277291356</v>
      </c>
      <c r="J3">
        <v>5</v>
      </c>
      <c r="K3">
        <v>0.3</v>
      </c>
      <c r="L3">
        <v>1</v>
      </c>
      <c r="M3">
        <f>RADIANS(0)</f>
        <v>0</v>
      </c>
      <c r="N3">
        <v>3</v>
      </c>
      <c r="O3">
        <v>0.4</v>
      </c>
      <c r="P3">
        <v>1</v>
      </c>
      <c r="Q3">
        <f>RADIANS(0)</f>
        <v>0</v>
      </c>
      <c r="R3">
        <v>0</v>
      </c>
      <c r="T3">
        <f t="shared" ref="T3:T66" si="5">D3+E3</f>
        <v>-0.53314789003013008</v>
      </c>
      <c r="U3">
        <v>-6.1568115970448984E-4</v>
      </c>
      <c r="V3">
        <v>5.0804980344901296E-3</v>
      </c>
      <c r="W3">
        <v>0.1</v>
      </c>
      <c r="AJ3">
        <f>($J$3*EXP(-$K$3*B3)*SIN(2*PI()*B3/$L$3)+$M$3)</f>
        <v>2.8520678638645678</v>
      </c>
      <c r="AK3">
        <f>($J$3*EXP(-$K$3*B3))</f>
        <v>4.8522276677425404</v>
      </c>
      <c r="AL3">
        <f>(SIN(2*PI()*B3/$L$3)+$M$3)</f>
        <v>0.58778525229247314</v>
      </c>
      <c r="AN3">
        <v>0</v>
      </c>
      <c r="AO3">
        <v>0</v>
      </c>
      <c r="AP3">
        <v>0</v>
      </c>
    </row>
    <row r="4" spans="1:42" x14ac:dyDescent="0.3">
      <c r="A4">
        <v>0.2</v>
      </c>
      <c r="B4">
        <v>0.2</v>
      </c>
      <c r="C4">
        <v>0</v>
      </c>
      <c r="D4">
        <f t="shared" ref="D4:D67" si="6">SIN(B4)</f>
        <v>0.19866933079506122</v>
      </c>
      <c r="E4">
        <f t="shared" si="0"/>
        <v>-0.55253129218685415</v>
      </c>
      <c r="F4">
        <f t="shared" si="1"/>
        <v>4.4783564824048279</v>
      </c>
      <c r="G4">
        <f t="shared" si="2"/>
        <v>0</v>
      </c>
      <c r="H4">
        <f t="shared" si="3"/>
        <v>4.4783564824048279</v>
      </c>
      <c r="I4">
        <f t="shared" si="4"/>
        <v>8.9567129648096557</v>
      </c>
      <c r="T4">
        <f t="shared" si="5"/>
        <v>-0.35386196139179293</v>
      </c>
      <c r="U4">
        <v>-1.0368484519498009E-3</v>
      </c>
      <c r="V4">
        <v>5.0064179013563168E-3</v>
      </c>
      <c r="W4">
        <v>0.2</v>
      </c>
      <c r="AJ4">
        <f>($J$3*EXP(-$K$3*B4)*SIN(2*PI()*B4/$L$3)+$M$3)</f>
        <v>4.4783564824048279</v>
      </c>
      <c r="AK4">
        <f>($J$3*EXP(-$K$3*B4))</f>
        <v>4.7088226679212433</v>
      </c>
      <c r="AL4">
        <f>(SIN(2*PI()*B4/$L$3)+$M$3)</f>
        <v>0.95105651629515353</v>
      </c>
      <c r="AN4">
        <f>AN3+0.05</f>
        <v>0.05</v>
      </c>
      <c r="AO4">
        <v>0.31301215122859</v>
      </c>
      <c r="AP4">
        <v>1.5220816534950701</v>
      </c>
    </row>
    <row r="5" spans="1:42" x14ac:dyDescent="0.3">
      <c r="A5">
        <v>0.3</v>
      </c>
      <c r="B5">
        <v>0.3</v>
      </c>
      <c r="C5">
        <v>0</v>
      </c>
      <c r="D5">
        <f t="shared" si="6"/>
        <v>0.29552020666133955</v>
      </c>
      <c r="E5">
        <f t="shared" si="0"/>
        <v>-0.46656056766778126</v>
      </c>
      <c r="F5">
        <f t="shared" si="1"/>
        <v>4.3460010459877747</v>
      </c>
      <c r="G5">
        <f t="shared" si="2"/>
        <v>0</v>
      </c>
      <c r="H5">
        <f t="shared" si="3"/>
        <v>4.3460010459877747</v>
      </c>
      <c r="I5">
        <f t="shared" si="4"/>
        <v>8.6920020919755494</v>
      </c>
      <c r="T5">
        <f t="shared" si="5"/>
        <v>-0.17104036100644171</v>
      </c>
      <c r="U5">
        <v>-1.0791630399940475E-3</v>
      </c>
      <c r="V5">
        <v>4.031095302178031E-3</v>
      </c>
      <c r="W5">
        <v>0.3</v>
      </c>
      <c r="AJ5">
        <f>($J$3*EXP(-$K$3*B5)*SIN(2*PI()*B5/$L$3)+$M$3)</f>
        <v>4.3460010459877747</v>
      </c>
      <c r="AK5">
        <f>($J$3*EXP(-$K$3*B5))</f>
        <v>4.5696559263561412</v>
      </c>
      <c r="AL5">
        <f>(SIN(2*PI()*B5/$L$3)+$M$3)</f>
        <v>0.95105651629515364</v>
      </c>
      <c r="AN5">
        <f t="shared" ref="AN5:AN68" si="7">AN4+0.05</f>
        <v>0.1</v>
      </c>
      <c r="AO5">
        <v>0.62291742827942997</v>
      </c>
      <c r="AP5">
        <v>2.85206786386457</v>
      </c>
    </row>
    <row r="6" spans="1:42" x14ac:dyDescent="0.3">
      <c r="A6">
        <v>0.4</v>
      </c>
      <c r="B6">
        <v>0.4</v>
      </c>
      <c r="C6">
        <v>0</v>
      </c>
      <c r="D6">
        <f t="shared" si="6"/>
        <v>0.38941834230865052</v>
      </c>
      <c r="E6">
        <f t="shared" si="0"/>
        <v>-0.37592812418099097</v>
      </c>
      <c r="F6">
        <f t="shared" si="1"/>
        <v>2.606593763295725</v>
      </c>
      <c r="G6">
        <f t="shared" si="2"/>
        <v>0</v>
      </c>
      <c r="H6">
        <f t="shared" si="3"/>
        <v>2.606593763295725</v>
      </c>
      <c r="I6">
        <f t="shared" si="4"/>
        <v>5.21318752659145</v>
      </c>
      <c r="K6" t="s">
        <v>17</v>
      </c>
      <c r="L6">
        <v>10</v>
      </c>
      <c r="T6">
        <f t="shared" si="5"/>
        <v>1.3490218127659548E-2</v>
      </c>
      <c r="U6">
        <v>-6.9417856914355135E-4</v>
      </c>
      <c r="V6">
        <v>2.2734831617723574E-3</v>
      </c>
      <c r="W6">
        <v>0.4</v>
      </c>
      <c r="AN6">
        <f t="shared" si="7"/>
        <v>0.15000000000000002</v>
      </c>
      <c r="AO6">
        <v>0.92851224490998996</v>
      </c>
      <c r="AP6">
        <v>3.8670910469131599</v>
      </c>
    </row>
    <row r="7" spans="1:42" x14ac:dyDescent="0.3">
      <c r="A7">
        <v>0.5</v>
      </c>
      <c r="B7">
        <v>0.5</v>
      </c>
      <c r="C7">
        <v>0</v>
      </c>
      <c r="D7">
        <f t="shared" si="6"/>
        <v>0.47942553860420301</v>
      </c>
      <c r="E7">
        <f t="shared" si="0"/>
        <v>-0.28153953114270069</v>
      </c>
      <c r="F7">
        <f t="shared" si="1"/>
        <v>5.2724752372234223E-16</v>
      </c>
      <c r="G7">
        <f t="shared" si="2"/>
        <v>0</v>
      </c>
      <c r="H7">
        <f t="shared" si="3"/>
        <v>5.2724752372234223E-16</v>
      </c>
      <c r="I7">
        <f t="shared" si="4"/>
        <v>1.0544950474446845E-15</v>
      </c>
      <c r="T7">
        <f t="shared" si="5"/>
        <v>0.19788600746150231</v>
      </c>
      <c r="U7">
        <v>1.0240251457617053E-17</v>
      </c>
      <c r="V7">
        <v>-5.9273009349911709E-17</v>
      </c>
      <c r="W7">
        <v>0.5</v>
      </c>
      <c r="AN7">
        <f t="shared" si="7"/>
        <v>0.2</v>
      </c>
      <c r="AO7">
        <v>1.2286172139120899</v>
      </c>
      <c r="AP7">
        <v>4.4783564824048296</v>
      </c>
    </row>
    <row r="8" spans="1:42" x14ac:dyDescent="0.3">
      <c r="A8">
        <v>0.6</v>
      </c>
      <c r="B8">
        <v>0.6</v>
      </c>
      <c r="C8">
        <v>0</v>
      </c>
      <c r="D8">
        <f t="shared" si="6"/>
        <v>0.56464247339503537</v>
      </c>
      <c r="E8">
        <f t="shared" si="0"/>
        <v>-0.18433788817382829</v>
      </c>
      <c r="F8">
        <f t="shared" si="1"/>
        <v>-2.4547975597338088</v>
      </c>
      <c r="G8">
        <f t="shared" si="2"/>
        <v>0</v>
      </c>
      <c r="H8">
        <f t="shared" si="3"/>
        <v>-2.4547975597338088</v>
      </c>
      <c r="I8">
        <f t="shared" si="4"/>
        <v>-4.9095951194676175</v>
      </c>
      <c r="T8">
        <f t="shared" si="5"/>
        <v>0.38030458522120708</v>
      </c>
      <c r="U8">
        <v>7.5199466661031965E-4</v>
      </c>
      <c r="V8">
        <v>-2.4140675091254213E-3</v>
      </c>
      <c r="W8">
        <v>0.6</v>
      </c>
      <c r="AN8">
        <f t="shared" si="7"/>
        <v>0.25</v>
      </c>
      <c r="AO8">
        <v>1.5220816534950701</v>
      </c>
      <c r="AP8">
        <v>4.6387174316427604</v>
      </c>
    </row>
    <row r="9" spans="1:42" x14ac:dyDescent="0.3">
      <c r="A9">
        <v>0.7</v>
      </c>
      <c r="B9">
        <v>0.7</v>
      </c>
      <c r="C9">
        <v>0</v>
      </c>
      <c r="D9">
        <f t="shared" si="6"/>
        <v>0.64421768723769102</v>
      </c>
      <c r="E9">
        <f t="shared" si="0"/>
        <v>-8.5294401960327448E-2</v>
      </c>
      <c r="F9">
        <f t="shared" si="1"/>
        <v>-3.8545571456806997</v>
      </c>
      <c r="G9">
        <f t="shared" si="2"/>
        <v>0</v>
      </c>
      <c r="H9">
        <f t="shared" si="3"/>
        <v>-3.8545571456806997</v>
      </c>
      <c r="I9">
        <f t="shared" si="4"/>
        <v>-7.7091142913613995</v>
      </c>
      <c r="T9">
        <f t="shared" si="5"/>
        <v>0.55892328527736357</v>
      </c>
      <c r="U9">
        <v>1.2664095590055908E-3</v>
      </c>
      <c r="V9">
        <v>-4.5450472616221649E-3</v>
      </c>
      <c r="W9">
        <v>0.7</v>
      </c>
      <c r="AN9">
        <f t="shared" si="7"/>
        <v>0.3</v>
      </c>
      <c r="AO9">
        <v>1.8077879535061001</v>
      </c>
      <c r="AP9">
        <v>4.3460010459877703</v>
      </c>
    </row>
    <row r="10" spans="1:42" x14ac:dyDescent="0.3">
      <c r="A10">
        <v>0.8</v>
      </c>
      <c r="B10">
        <v>0.8</v>
      </c>
      <c r="C10">
        <v>0</v>
      </c>
      <c r="D10">
        <f t="shared" si="6"/>
        <v>0.71735609089952279</v>
      </c>
      <c r="E10">
        <f t="shared" si="0"/>
        <v>1.4601317722980348E-2</v>
      </c>
      <c r="F10">
        <f t="shared" si="1"/>
        <v>-3.7406377658333221</v>
      </c>
      <c r="G10">
        <f t="shared" si="2"/>
        <v>0</v>
      </c>
      <c r="H10">
        <f t="shared" si="3"/>
        <v>-3.7406377658333221</v>
      </c>
      <c r="I10">
        <f t="shared" si="4"/>
        <v>-7.4812755316666442</v>
      </c>
      <c r="T10">
        <f t="shared" si="5"/>
        <v>0.73195740862250314</v>
      </c>
      <c r="U10">
        <v>1.3180927135532483E-3</v>
      </c>
      <c r="V10">
        <v>-5.9937704385476529E-3</v>
      </c>
      <c r="W10">
        <v>0.8</v>
      </c>
      <c r="AN10">
        <f t="shared" si="7"/>
        <v>0.35</v>
      </c>
      <c r="AO10">
        <v>2.0846557851073402</v>
      </c>
      <c r="AP10">
        <v>3.6418891961240001</v>
      </c>
    </row>
    <row r="11" spans="1:42" x14ac:dyDescent="0.3">
      <c r="A11">
        <v>0.9</v>
      </c>
      <c r="B11">
        <v>0.9</v>
      </c>
      <c r="C11">
        <v>0</v>
      </c>
      <c r="D11">
        <f t="shared" si="6"/>
        <v>0.78332690962748341</v>
      </c>
      <c r="E11">
        <f t="shared" si="0"/>
        <v>0.11435114586615396</v>
      </c>
      <c r="F11">
        <f t="shared" si="1"/>
        <v>-2.24351604336844</v>
      </c>
      <c r="G11">
        <f t="shared" si="2"/>
        <v>0</v>
      </c>
      <c r="H11">
        <f t="shared" si="3"/>
        <v>-2.24351604336844</v>
      </c>
      <c r="I11">
        <f t="shared" si="4"/>
        <v>-4.48703208673688</v>
      </c>
      <c r="T11">
        <f t="shared" si="5"/>
        <v>0.89767805549363733</v>
      </c>
      <c r="U11">
        <v>8.4787161900761008E-4</v>
      </c>
      <c r="V11">
        <v>-6.4585788095551464E-3</v>
      </c>
      <c r="W11">
        <v>0.9</v>
      </c>
      <c r="AN11">
        <f t="shared" si="7"/>
        <v>0.39999999999999997</v>
      </c>
      <c r="AO11">
        <v>2.3516461382443699</v>
      </c>
      <c r="AP11">
        <v>2.6065937632957299</v>
      </c>
    </row>
    <row r="12" spans="1:42" x14ac:dyDescent="0.3">
      <c r="A12">
        <v>1</v>
      </c>
      <c r="B12">
        <v>1</v>
      </c>
      <c r="C12">
        <v>0</v>
      </c>
      <c r="D12">
        <f t="shared" si="6"/>
        <v>0.8414709848078965</v>
      </c>
      <c r="E12">
        <f t="shared" si="0"/>
        <v>0.21295841515929623</v>
      </c>
      <c r="F12">
        <f t="shared" si="1"/>
        <v>-9.076122984363597E-16</v>
      </c>
      <c r="G12">
        <f t="shared" si="2"/>
        <v>0</v>
      </c>
      <c r="H12">
        <f t="shared" si="3"/>
        <v>-9.076122984363597E-16</v>
      </c>
      <c r="I12">
        <f t="shared" si="4"/>
        <v>-1.8152245968727194E-15</v>
      </c>
      <c r="T12">
        <f t="shared" si="5"/>
        <v>1.0544293999671928</v>
      </c>
      <c r="U12">
        <v>-1.7657415143935524E-17</v>
      </c>
      <c r="V12">
        <v>-5.7953821727106582E-3</v>
      </c>
      <c r="W12">
        <v>1</v>
      </c>
      <c r="AN12">
        <f t="shared" si="7"/>
        <v>0.44999999999999996</v>
      </c>
      <c r="AO12">
        <v>2.60776517201381</v>
      </c>
      <c r="AP12">
        <v>1.34996532483702</v>
      </c>
    </row>
    <row r="13" spans="1:42" x14ac:dyDescent="0.3">
      <c r="A13">
        <v>1.1000000000000001</v>
      </c>
      <c r="B13">
        <v>1.1000000000000001</v>
      </c>
      <c r="C13">
        <v>0</v>
      </c>
      <c r="D13">
        <f t="shared" si="6"/>
        <v>0.89120736006143542</v>
      </c>
      <c r="E13">
        <f t="shared" si="0"/>
        <v>0.30943787436285974</v>
      </c>
      <c r="F13">
        <f t="shared" si="1"/>
        <v>2.1128638401716588</v>
      </c>
      <c r="G13">
        <f t="shared" si="2"/>
        <v>0</v>
      </c>
      <c r="H13">
        <f t="shared" si="3"/>
        <v>2.1128638401716588</v>
      </c>
      <c r="I13">
        <f t="shared" si="4"/>
        <v>4.2257276803433177</v>
      </c>
      <c r="T13">
        <f t="shared" si="5"/>
        <v>1.2006452344242953</v>
      </c>
      <c r="U13">
        <v>-9.1848835991958618E-4</v>
      </c>
      <c r="V13">
        <v>-4.0532087223694143E-3</v>
      </c>
      <c r="W13">
        <v>1.1000000000000001</v>
      </c>
      <c r="AN13">
        <f t="shared" si="7"/>
        <v>0.49999999999999994</v>
      </c>
      <c r="AO13">
        <v>2.85206786386457</v>
      </c>
      <c r="AP13">
        <v>0</v>
      </c>
    </row>
    <row r="14" spans="1:42" x14ac:dyDescent="0.3">
      <c r="A14">
        <v>1.2</v>
      </c>
      <c r="B14">
        <v>1.2</v>
      </c>
      <c r="C14">
        <v>0</v>
      </c>
      <c r="D14">
        <f t="shared" si="6"/>
        <v>0.93203908596722629</v>
      </c>
      <c r="E14">
        <f t="shared" si="0"/>
        <v>0.40282553261235132</v>
      </c>
      <c r="F14">
        <f t="shared" si="1"/>
        <v>3.3176480808735818</v>
      </c>
      <c r="G14">
        <f t="shared" si="2"/>
        <v>0</v>
      </c>
      <c r="H14">
        <f t="shared" si="3"/>
        <v>3.3176480808735818</v>
      </c>
      <c r="I14">
        <f t="shared" si="4"/>
        <v>6.6352961617471635</v>
      </c>
      <c r="T14">
        <f t="shared" si="5"/>
        <v>1.3348646185795776</v>
      </c>
      <c r="U14">
        <v>-1.5467961283298348E-3</v>
      </c>
      <c r="V14">
        <v>-1.477365755180974E-3</v>
      </c>
      <c r="W14">
        <v>1.2</v>
      </c>
      <c r="AN14">
        <f t="shared" si="7"/>
        <v>0.54999999999999993</v>
      </c>
      <c r="AO14">
        <v>3.0836614444447101</v>
      </c>
      <c r="AP14">
        <v>-1.3100678199334499</v>
      </c>
    </row>
    <row r="15" spans="1:42" x14ac:dyDescent="0.3">
      <c r="A15">
        <v>1.3</v>
      </c>
      <c r="B15">
        <v>1.3</v>
      </c>
      <c r="C15">
        <v>0</v>
      </c>
      <c r="D15">
        <f t="shared" si="6"/>
        <v>0.96355818541719296</v>
      </c>
      <c r="E15">
        <f t="shared" si="0"/>
        <v>0.49218829129639802</v>
      </c>
      <c r="F15">
        <f t="shared" si="1"/>
        <v>3.219596761969548</v>
      </c>
      <c r="G15">
        <f t="shared" si="2"/>
        <v>0</v>
      </c>
      <c r="H15">
        <f t="shared" si="3"/>
        <v>3.219596761969548</v>
      </c>
      <c r="I15">
        <f t="shared" si="4"/>
        <v>6.4391935239390961</v>
      </c>
      <c r="T15">
        <f t="shared" si="5"/>
        <v>1.455746476713591</v>
      </c>
      <c r="U15">
        <v>-1.6099220758447575E-3</v>
      </c>
      <c r="V15">
        <v>1.5223582407338893E-3</v>
      </c>
      <c r="W15">
        <v>1.3</v>
      </c>
      <c r="AL15">
        <f>5/0.01</f>
        <v>500</v>
      </c>
      <c r="AN15">
        <f t="shared" si="7"/>
        <v>0.6</v>
      </c>
      <c r="AO15">
        <v>3.3017086058303602</v>
      </c>
      <c r="AP15">
        <v>-2.4547975597338101</v>
      </c>
    </row>
    <row r="16" spans="1:42" x14ac:dyDescent="0.3">
      <c r="A16">
        <v>1.4</v>
      </c>
      <c r="B16">
        <v>1.4</v>
      </c>
      <c r="C16">
        <v>0</v>
      </c>
      <c r="D16">
        <f t="shared" si="6"/>
        <v>0.98544972998846014</v>
      </c>
      <c r="E16">
        <f t="shared" si="0"/>
        <v>0.57663326726962905</v>
      </c>
      <c r="F16">
        <f t="shared" si="1"/>
        <v>1.9310121537648022</v>
      </c>
      <c r="G16">
        <f t="shared" si="2"/>
        <v>0</v>
      </c>
      <c r="H16">
        <f t="shared" si="3"/>
        <v>1.9310121537648022</v>
      </c>
      <c r="I16">
        <f t="shared" si="4"/>
        <v>3.8620243075296044</v>
      </c>
      <c r="T16">
        <f t="shared" si="5"/>
        <v>1.5620829972580892</v>
      </c>
      <c r="U16">
        <v>-1.0355927340216181E-3</v>
      </c>
      <c r="V16">
        <v>4.4349167505063408E-3</v>
      </c>
      <c r="W16">
        <v>1.4</v>
      </c>
      <c r="AN16">
        <f t="shared" si="7"/>
        <v>0.65</v>
      </c>
      <c r="AO16">
        <v>3.50543047183998</v>
      </c>
      <c r="AP16">
        <v>-3.3284361096400898</v>
      </c>
    </row>
    <row r="17" spans="1:42" x14ac:dyDescent="0.3">
      <c r="A17">
        <v>1.5</v>
      </c>
      <c r="B17">
        <v>1.5</v>
      </c>
      <c r="C17">
        <v>0</v>
      </c>
      <c r="D17">
        <f t="shared" si="6"/>
        <v>0.99749498660405445</v>
      </c>
      <c r="E17">
        <f t="shared" si="0"/>
        <v>0.6553167142459182</v>
      </c>
      <c r="F17">
        <f t="shared" si="1"/>
        <v>1.1717837171484822E-15</v>
      </c>
      <c r="G17">
        <f t="shared" si="2"/>
        <v>0</v>
      </c>
      <c r="H17">
        <f t="shared" si="3"/>
        <v>1.1717837171484822E-15</v>
      </c>
      <c r="I17">
        <f t="shared" si="4"/>
        <v>2.3435674342969644E-15</v>
      </c>
      <c r="T17">
        <f t="shared" si="5"/>
        <v>1.6528117008499725</v>
      </c>
      <c r="U17">
        <v>1.7976985349985887E-18</v>
      </c>
      <c r="V17">
        <v>6.7332734579523346E-3</v>
      </c>
      <c r="W17">
        <v>1.5</v>
      </c>
      <c r="AN17">
        <f t="shared" si="7"/>
        <v>0.70000000000000007</v>
      </c>
      <c r="AO17">
        <v>3.6941093201430699</v>
      </c>
      <c r="AP17">
        <v>-3.8545571456807002</v>
      </c>
    </row>
    <row r="18" spans="1:42" x14ac:dyDescent="0.3">
      <c r="A18">
        <v>1.6</v>
      </c>
      <c r="B18">
        <v>1.6</v>
      </c>
      <c r="C18">
        <v>0</v>
      </c>
      <c r="D18">
        <f t="shared" si="6"/>
        <v>0.99957360304150511</v>
      </c>
      <c r="E18">
        <f t="shared" si="0"/>
        <v>0.72745245323236762</v>
      </c>
      <c r="F18">
        <f t="shared" si="1"/>
        <v>-1.8185587603358229</v>
      </c>
      <c r="G18">
        <f t="shared" si="2"/>
        <v>0</v>
      </c>
      <c r="H18">
        <f t="shared" si="3"/>
        <v>-1.8185587603358229</v>
      </c>
      <c r="I18">
        <f t="shared" si="4"/>
        <v>-3.6371175206716457</v>
      </c>
      <c r="T18">
        <f t="shared" si="5"/>
        <v>1.7270260562738726</v>
      </c>
      <c r="U18">
        <v>1.1218442161437989E-3</v>
      </c>
      <c r="V18">
        <v>7.96780697584973E-3</v>
      </c>
      <c r="W18">
        <v>1.6</v>
      </c>
      <c r="AN18">
        <f t="shared" si="7"/>
        <v>0.75000000000000011</v>
      </c>
      <c r="AO18">
        <v>3.8670910469131599</v>
      </c>
      <c r="AP18">
        <v>-3.9925810937968902</v>
      </c>
    </row>
    <row r="19" spans="1:42" x14ac:dyDescent="0.3">
      <c r="A19">
        <v>1.7</v>
      </c>
      <c r="B19">
        <v>1.7</v>
      </c>
      <c r="C19">
        <v>0</v>
      </c>
      <c r="D19">
        <f t="shared" si="6"/>
        <v>0.99166481045246857</v>
      </c>
      <c r="E19">
        <f t="shared" si="0"/>
        <v>0.79231972776992976</v>
      </c>
      <c r="F19">
        <f t="shared" si="1"/>
        <v>-2.8555261661791769</v>
      </c>
      <c r="G19">
        <f t="shared" si="2"/>
        <v>0</v>
      </c>
      <c r="H19">
        <f t="shared" si="3"/>
        <v>-2.8555261661791769</v>
      </c>
      <c r="I19">
        <f t="shared" si="4"/>
        <v>-5.7110523323583537</v>
      </c>
      <c r="T19">
        <f t="shared" si="5"/>
        <v>1.7839845382223984</v>
      </c>
      <c r="U19">
        <v>1.889261057453526E-3</v>
      </c>
      <c r="V19">
        <v>7.8516262003532501E-3</v>
      </c>
      <c r="W19">
        <v>1.7</v>
      </c>
      <c r="AN19">
        <f t="shared" si="7"/>
        <v>0.80000000000000016</v>
      </c>
      <c r="AO19">
        <v>4.0237873658451404</v>
      </c>
      <c r="AP19">
        <v>-3.7406377658333199</v>
      </c>
    </row>
    <row r="20" spans="1:42" x14ac:dyDescent="0.3">
      <c r="A20">
        <v>1.8</v>
      </c>
      <c r="B20">
        <v>1.8</v>
      </c>
      <c r="C20">
        <v>0</v>
      </c>
      <c r="D20">
        <f t="shared" si="6"/>
        <v>0.97384763087819515</v>
      </c>
      <c r="E20">
        <f t="shared" si="0"/>
        <v>0.8492704054936957</v>
      </c>
      <c r="F20">
        <f t="shared" si="1"/>
        <v>-2.7711326138994785</v>
      </c>
      <c r="G20">
        <f t="shared" si="2"/>
        <v>0</v>
      </c>
      <c r="H20">
        <f t="shared" si="3"/>
        <v>-2.7711326138994785</v>
      </c>
      <c r="I20">
        <f t="shared" si="4"/>
        <v>-5.542265227798957</v>
      </c>
      <c r="T20">
        <f t="shared" si="5"/>
        <v>1.8231180363718908</v>
      </c>
      <c r="U20">
        <v>1.966363263859731E-3</v>
      </c>
      <c r="V20">
        <v>6.3220158832779372E-3</v>
      </c>
      <c r="W20">
        <v>1.8</v>
      </c>
      <c r="AN20">
        <f t="shared" si="7"/>
        <v>0.8500000000000002</v>
      </c>
      <c r="AO20">
        <v>4.1636777344538398</v>
      </c>
      <c r="AP20">
        <v>-3.1346030803601699</v>
      </c>
    </row>
    <row r="21" spans="1:42" x14ac:dyDescent="0.3">
      <c r="A21">
        <v>1.9</v>
      </c>
      <c r="B21">
        <v>1.9</v>
      </c>
      <c r="C21">
        <v>0</v>
      </c>
      <c r="D21">
        <f t="shared" si="6"/>
        <v>0.94630008768741447</v>
      </c>
      <c r="E21">
        <f t="shared" si="0"/>
        <v>0.89773545405724031</v>
      </c>
      <c r="F21">
        <f t="shared" si="1"/>
        <v>-1.6620375633190958</v>
      </c>
      <c r="G21">
        <f t="shared" si="2"/>
        <v>0</v>
      </c>
      <c r="H21">
        <f t="shared" si="3"/>
        <v>-1.6620375633190958</v>
      </c>
      <c r="I21">
        <f t="shared" si="4"/>
        <v>-3.3240751266381916</v>
      </c>
      <c r="T21">
        <f t="shared" si="5"/>
        <v>1.8440355417446548</v>
      </c>
      <c r="U21">
        <v>1.2648758216646297E-3</v>
      </c>
      <c r="V21">
        <v>3.5655313461142478E-3</v>
      </c>
      <c r="W21">
        <v>1.9</v>
      </c>
      <c r="AN21">
        <f t="shared" si="7"/>
        <v>0.90000000000000024</v>
      </c>
      <c r="AO21">
        <v>4.2863110016884702</v>
      </c>
      <c r="AP21">
        <v>-2.24351604336844</v>
      </c>
    </row>
    <row r="22" spans="1:42" x14ac:dyDescent="0.3">
      <c r="A22">
        <v>2</v>
      </c>
      <c r="B22">
        <v>2</v>
      </c>
      <c r="C22">
        <v>0.1</v>
      </c>
      <c r="D22">
        <f t="shared" si="6"/>
        <v>0.90929742682568171</v>
      </c>
      <c r="E22">
        <f t="shared" si="0"/>
        <v>0.93723062671573221</v>
      </c>
      <c r="F22">
        <f t="shared" si="1"/>
        <v>-1.3447514559929366E-15</v>
      </c>
      <c r="G22">
        <f t="shared" si="2"/>
        <v>1.6942135886762761</v>
      </c>
      <c r="H22">
        <f t="shared" si="3"/>
        <v>1.6942135886762748</v>
      </c>
      <c r="I22">
        <f t="shared" si="4"/>
        <v>3.3884271773525496</v>
      </c>
      <c r="T22">
        <f t="shared" si="5"/>
        <v>1.8465280535414139</v>
      </c>
      <c r="U22">
        <v>-9.8785272555654303E-18</v>
      </c>
      <c r="V22">
        <v>-2.6560714383895832E-17</v>
      </c>
      <c r="W22">
        <v>2</v>
      </c>
      <c r="AN22">
        <f t="shared" si="7"/>
        <v>0.95000000000000029</v>
      </c>
      <c r="AO22">
        <v>4.3913067720324497</v>
      </c>
      <c r="AP22">
        <v>-1.1619259229844701</v>
      </c>
    </row>
    <row r="23" spans="1:42" x14ac:dyDescent="0.3">
      <c r="A23">
        <v>2.1</v>
      </c>
      <c r="B23">
        <v>2.1</v>
      </c>
      <c r="C23">
        <v>0.2</v>
      </c>
      <c r="D23">
        <f t="shared" si="6"/>
        <v>0.86320936664887371</v>
      </c>
      <c r="E23">
        <f t="shared" si="0"/>
        <v>0.9673613007593358</v>
      </c>
      <c r="F23">
        <f t="shared" si="1"/>
        <v>1.5652480306187073</v>
      </c>
      <c r="G23">
        <f t="shared" si="2"/>
        <v>2.633807449588752</v>
      </c>
      <c r="H23">
        <f t="shared" si="3"/>
        <v>4.1990554802074591</v>
      </c>
      <c r="I23">
        <f t="shared" si="4"/>
        <v>8.3981109604149182</v>
      </c>
      <c r="T23">
        <f t="shared" si="5"/>
        <v>1.8305706674082094</v>
      </c>
      <c r="U23">
        <v>-1.3702236198240485E-3</v>
      </c>
      <c r="V23">
        <v>-3.7860114911572357E-3</v>
      </c>
      <c r="W23">
        <v>2.1</v>
      </c>
      <c r="AN23">
        <f t="shared" si="7"/>
        <v>1.0000000000000002</v>
      </c>
      <c r="AO23">
        <v>4.4783564824048296</v>
      </c>
      <c r="AP23">
        <v>0</v>
      </c>
    </row>
    <row r="24" spans="1:42" x14ac:dyDescent="0.3">
      <c r="A24">
        <v>2.2000000000000002</v>
      </c>
      <c r="B24">
        <v>2.2000000000000002</v>
      </c>
      <c r="C24">
        <v>0.3</v>
      </c>
      <c r="D24">
        <f t="shared" si="6"/>
        <v>0.80849640381959009</v>
      </c>
      <c r="E24">
        <f t="shared" si="0"/>
        <v>0.98782642045288405</v>
      </c>
      <c r="F24">
        <f t="shared" si="1"/>
        <v>2.4577741481208837</v>
      </c>
      <c r="G24">
        <f t="shared" si="2"/>
        <v>2.5305343823255884</v>
      </c>
      <c r="H24">
        <f t="shared" si="3"/>
        <v>4.9883085304464725</v>
      </c>
      <c r="I24">
        <f t="shared" si="4"/>
        <v>9.976617060892945</v>
      </c>
      <c r="T24">
        <f t="shared" si="5"/>
        <v>1.7963228242724743</v>
      </c>
      <c r="U24">
        <v>-2.3075486664583364E-3</v>
      </c>
      <c r="V24">
        <v>-7.128053004030719E-3</v>
      </c>
      <c r="W24">
        <v>2.2000000000000002</v>
      </c>
      <c r="AN24">
        <f t="shared" si="7"/>
        <v>1.0500000000000003</v>
      </c>
      <c r="AO24">
        <v>4.5472241893345897</v>
      </c>
      <c r="AP24">
        <v>1.1275858222745001</v>
      </c>
    </row>
    <row r="25" spans="1:42" x14ac:dyDescent="0.3">
      <c r="A25">
        <v>2.2999999999999998</v>
      </c>
      <c r="B25">
        <v>2.2999999999999998</v>
      </c>
      <c r="C25">
        <v>0.4</v>
      </c>
      <c r="D25">
        <f t="shared" si="6"/>
        <v>0.74570521217672026</v>
      </c>
      <c r="E25">
        <f t="shared" si="0"/>
        <v>0.99842150508526817</v>
      </c>
      <c r="F25">
        <f t="shared" si="1"/>
        <v>2.3851359445149027</v>
      </c>
      <c r="G25">
        <f t="shared" si="2"/>
        <v>1.5026326559609058</v>
      </c>
      <c r="H25">
        <f t="shared" si="3"/>
        <v>3.8877686004758085</v>
      </c>
      <c r="I25">
        <f t="shared" si="4"/>
        <v>7.775537200951617</v>
      </c>
      <c r="T25">
        <f t="shared" si="5"/>
        <v>1.7441267172619885</v>
      </c>
      <c r="U25">
        <v>-2.401721514023107E-3</v>
      </c>
      <c r="V25">
        <v>-9.4001032158050595E-3</v>
      </c>
      <c r="W25">
        <v>2.2999999999999998</v>
      </c>
      <c r="AN25">
        <f t="shared" si="7"/>
        <v>1.1000000000000003</v>
      </c>
      <c r="AO25">
        <v>4.5977470650364296</v>
      </c>
      <c r="AP25">
        <v>2.1128638401716602</v>
      </c>
    </row>
    <row r="26" spans="1:42" x14ac:dyDescent="0.3">
      <c r="A26">
        <v>2.4</v>
      </c>
      <c r="B26">
        <v>2.4</v>
      </c>
      <c r="C26">
        <v>0.5</v>
      </c>
      <c r="D26">
        <f t="shared" si="6"/>
        <v>0.67546318055115095</v>
      </c>
      <c r="E26">
        <f t="shared" si="0"/>
        <v>0.99904069207311086</v>
      </c>
      <c r="F26">
        <f t="shared" si="1"/>
        <v>1.4305289878668133</v>
      </c>
      <c r="G26">
        <f t="shared" si="2"/>
        <v>3.0092001513589812E-16</v>
      </c>
      <c r="H26">
        <f t="shared" si="3"/>
        <v>1.4305289878668135</v>
      </c>
      <c r="I26">
        <f t="shared" si="4"/>
        <v>2.861057975733627</v>
      </c>
      <c r="T26">
        <f t="shared" si="5"/>
        <v>1.6745038726242618</v>
      </c>
      <c r="U26">
        <v>-1.544922817311313E-3</v>
      </c>
      <c r="V26">
        <v>-1.0129067847973917E-2</v>
      </c>
      <c r="W26">
        <v>2.4</v>
      </c>
      <c r="AN26">
        <f t="shared" si="7"/>
        <v>1.1500000000000004</v>
      </c>
      <c r="AO26">
        <v>4.62983560217309</v>
      </c>
      <c r="AP26">
        <v>2.86481150858841</v>
      </c>
    </row>
    <row r="27" spans="1:42" x14ac:dyDescent="0.3">
      <c r="A27">
        <v>2.5</v>
      </c>
      <c r="B27">
        <v>2.5</v>
      </c>
      <c r="C27">
        <v>0.6</v>
      </c>
      <c r="D27">
        <f t="shared" si="6"/>
        <v>0.59847214410395655</v>
      </c>
      <c r="E27">
        <f t="shared" si="0"/>
        <v>0.98967779470470552</v>
      </c>
      <c r="F27">
        <f t="shared" si="1"/>
        <v>1.4467978806029133E-15</v>
      </c>
      <c r="G27">
        <f t="shared" si="2"/>
        <v>-1.3871047673318777</v>
      </c>
      <c r="H27">
        <f t="shared" si="3"/>
        <v>-1.3871047673318762</v>
      </c>
      <c r="I27">
        <f t="shared" si="4"/>
        <v>-2.7742095346637523</v>
      </c>
      <c r="T27">
        <f t="shared" si="5"/>
        <v>1.588149938808662</v>
      </c>
      <c r="U27">
        <v>2.1449469799591636E-17</v>
      </c>
      <c r="V27">
        <v>-9.0889684810346559E-3</v>
      </c>
      <c r="W27">
        <v>2.5</v>
      </c>
      <c r="AN27">
        <f t="shared" si="7"/>
        <v>1.2000000000000004</v>
      </c>
      <c r="AO27">
        <v>4.6434735282394302</v>
      </c>
      <c r="AP27">
        <v>3.31764808087358</v>
      </c>
    </row>
    <row r="28" spans="1:42" x14ac:dyDescent="0.3">
      <c r="A28">
        <v>2.6</v>
      </c>
      <c r="B28">
        <v>2.6</v>
      </c>
      <c r="C28">
        <v>0.7</v>
      </c>
      <c r="D28">
        <f t="shared" si="6"/>
        <v>0.51550137182146416</v>
      </c>
      <c r="E28">
        <f t="shared" si="0"/>
        <v>0.97042636395559478</v>
      </c>
      <c r="F28">
        <f t="shared" si="1"/>
        <v>-1.3472214650371341</v>
      </c>
      <c r="G28">
        <f t="shared" si="2"/>
        <v>-2.1563791566641979</v>
      </c>
      <c r="H28">
        <f t="shared" si="3"/>
        <v>-3.5036006217013318</v>
      </c>
      <c r="I28">
        <f t="shared" si="4"/>
        <v>-7.0072012434026636</v>
      </c>
      <c r="T28">
        <f t="shared" si="5"/>
        <v>1.4859277357770591</v>
      </c>
      <c r="U28">
        <v>1.6735949085493131E-3</v>
      </c>
      <c r="V28">
        <v>-6.3566966296270504E-3</v>
      </c>
      <c r="W28">
        <v>2.6</v>
      </c>
      <c r="AN28">
        <f t="shared" si="7"/>
        <v>1.2500000000000004</v>
      </c>
      <c r="AO28">
        <v>4.6387174316427604</v>
      </c>
      <c r="AP28">
        <v>3.43644639395486</v>
      </c>
    </row>
    <row r="29" spans="1:42" x14ac:dyDescent="0.3">
      <c r="A29">
        <v>2.7</v>
      </c>
      <c r="B29">
        <v>2.7</v>
      </c>
      <c r="C29">
        <v>0.8</v>
      </c>
      <c r="D29">
        <f t="shared" si="6"/>
        <v>0.42737988023382978</v>
      </c>
      <c r="E29">
        <f t="shared" si="0"/>
        <v>0.94147875375814694</v>
      </c>
      <c r="F29">
        <f t="shared" si="1"/>
        <v>-2.1154258135389448</v>
      </c>
      <c r="G29">
        <f t="shared" si="2"/>
        <v>-2.0718263205311542</v>
      </c>
      <c r="H29">
        <f t="shared" si="3"/>
        <v>-4.187252134070099</v>
      </c>
      <c r="I29">
        <f t="shared" si="4"/>
        <v>-8.374504268140198</v>
      </c>
      <c r="T29">
        <f t="shared" si="5"/>
        <v>1.3688586339919766</v>
      </c>
      <c r="U29">
        <v>2.8184463058010378E-3</v>
      </c>
      <c r="V29">
        <v>-2.3169707162761302E-3</v>
      </c>
      <c r="W29">
        <v>2.7</v>
      </c>
      <c r="AN29">
        <f t="shared" si="7"/>
        <v>1.3000000000000005</v>
      </c>
      <c r="AO29">
        <v>4.6156961026788998</v>
      </c>
      <c r="AP29">
        <v>3.2195967619695498</v>
      </c>
    </row>
    <row r="30" spans="1:42" x14ac:dyDescent="0.3">
      <c r="A30">
        <v>2.8</v>
      </c>
      <c r="B30">
        <v>2.8</v>
      </c>
      <c r="C30">
        <v>0.9</v>
      </c>
      <c r="D30">
        <f t="shared" si="6"/>
        <v>0.33498815015590511</v>
      </c>
      <c r="E30">
        <f t="shared" si="0"/>
        <v>0.90312419906464736</v>
      </c>
      <c r="F30">
        <f t="shared" si="1"/>
        <v>-2.0529055323020895</v>
      </c>
      <c r="G30">
        <f t="shared" si="2"/>
        <v>-1.2302515660144406</v>
      </c>
      <c r="H30">
        <f t="shared" si="3"/>
        <v>-3.2831570983165301</v>
      </c>
      <c r="I30">
        <f t="shared" si="4"/>
        <v>-6.5663141966330603</v>
      </c>
      <c r="T30">
        <f t="shared" si="5"/>
        <v>1.2381123492205526</v>
      </c>
      <c r="U30">
        <v>2.9334692815604527E-3</v>
      </c>
      <c r="V30">
        <v>2.3875329796244119E-3</v>
      </c>
      <c r="W30">
        <v>2.8</v>
      </c>
      <c r="AN30">
        <f t="shared" si="7"/>
        <v>1.3500000000000005</v>
      </c>
      <c r="AO30">
        <v>4.5746095937083204</v>
      </c>
      <c r="AP30">
        <v>2.6979778741925502</v>
      </c>
    </row>
    <row r="31" spans="1:42" x14ac:dyDescent="0.3">
      <c r="A31">
        <v>2.9</v>
      </c>
      <c r="B31">
        <v>2.9</v>
      </c>
      <c r="C31">
        <v>1</v>
      </c>
      <c r="D31">
        <f t="shared" si="6"/>
        <v>0.23924932921398243</v>
      </c>
      <c r="E31">
        <f t="shared" si="0"/>
        <v>0.85574592590726284</v>
      </c>
      <c r="F31">
        <f t="shared" si="1"/>
        <v>-1.2312677103642311</v>
      </c>
      <c r="G31">
        <f t="shared" si="2"/>
        <v>-4.9274494121690304E-16</v>
      </c>
      <c r="H31">
        <f t="shared" si="3"/>
        <v>-1.2312677103642315</v>
      </c>
      <c r="I31">
        <f t="shared" si="4"/>
        <v>-2.4625354207284631</v>
      </c>
      <c r="T31">
        <f t="shared" si="5"/>
        <v>1.0949952551212452</v>
      </c>
      <c r="U31">
        <v>1.8869729902086093E-3</v>
      </c>
      <c r="V31">
        <v>6.955333981453489E-3</v>
      </c>
      <c r="W31">
        <v>2.9</v>
      </c>
      <c r="AN31">
        <f t="shared" si="7"/>
        <v>1.4000000000000006</v>
      </c>
      <c r="AO31">
        <v>4.5157280039185199</v>
      </c>
      <c r="AP31">
        <v>1.9310121537648</v>
      </c>
    </row>
    <row r="32" spans="1:42" x14ac:dyDescent="0.3">
      <c r="A32">
        <v>3</v>
      </c>
      <c r="B32">
        <v>3</v>
      </c>
      <c r="C32">
        <v>1.1000000000000001</v>
      </c>
      <c r="D32">
        <f t="shared" si="6"/>
        <v>0.14112000805986721</v>
      </c>
      <c r="E32">
        <f t="shared" si="0"/>
        <v>0.79981732233020741</v>
      </c>
      <c r="F32">
        <f t="shared" si="1"/>
        <v>-1.4943245713317551E-15</v>
      </c>
      <c r="G32">
        <f t="shared" si="2"/>
        <v>1.1356653307556879</v>
      </c>
      <c r="H32">
        <f t="shared" si="3"/>
        <v>1.1356653307556863</v>
      </c>
      <c r="I32">
        <f t="shared" si="4"/>
        <v>2.2713306615113726</v>
      </c>
      <c r="T32">
        <f t="shared" si="5"/>
        <v>0.94093733039007466</v>
      </c>
      <c r="U32">
        <v>9.8232382218613474E-18</v>
      </c>
      <c r="V32">
        <v>1.0559874812344128E-2</v>
      </c>
      <c r="W32">
        <v>3</v>
      </c>
      <c r="AN32">
        <f t="shared" si="7"/>
        <v>1.4500000000000006</v>
      </c>
      <c r="AO32">
        <v>4.4393899951128599</v>
      </c>
      <c r="AP32">
        <v>1.00007890992777</v>
      </c>
    </row>
    <row r="33" spans="1:42" x14ac:dyDescent="0.3">
      <c r="A33">
        <v>3.1</v>
      </c>
      <c r="B33">
        <v>3.1</v>
      </c>
      <c r="C33">
        <v>1.2</v>
      </c>
      <c r="D33">
        <f t="shared" si="6"/>
        <v>4.1580662433290491E-2</v>
      </c>
      <c r="E33">
        <f t="shared" si="0"/>
        <v>0.73589720845288453</v>
      </c>
      <c r="F33">
        <f t="shared" si="1"/>
        <v>1.1595642609685135</v>
      </c>
      <c r="G33">
        <f t="shared" si="2"/>
        <v>1.7654939308573419</v>
      </c>
      <c r="H33">
        <f t="shared" si="3"/>
        <v>2.9250581918258556</v>
      </c>
      <c r="I33">
        <f t="shared" si="4"/>
        <v>5.8501163836517112</v>
      </c>
      <c r="T33">
        <f t="shared" si="5"/>
        <v>0.77747787088617504</v>
      </c>
      <c r="U33">
        <v>-2.0441334373449581E-3</v>
      </c>
      <c r="V33">
        <v>1.2496008771858714E-2</v>
      </c>
      <c r="W33">
        <v>3.1</v>
      </c>
      <c r="AN33">
        <f t="shared" si="7"/>
        <v>1.5000000000000007</v>
      </c>
      <c r="AO33">
        <v>4.3460010459877703</v>
      </c>
      <c r="AP33">
        <v>0</v>
      </c>
    </row>
    <row r="34" spans="1:42" x14ac:dyDescent="0.3">
      <c r="A34">
        <v>3.2</v>
      </c>
      <c r="B34">
        <v>3.2</v>
      </c>
      <c r="C34">
        <v>1.3</v>
      </c>
      <c r="D34">
        <f t="shared" si="6"/>
        <v>-5.8374143427580086E-2</v>
      </c>
      <c r="E34">
        <f t="shared" si="0"/>
        <v>0.66462425292397598</v>
      </c>
      <c r="F34">
        <f t="shared" si="1"/>
        <v>1.8207638712484371</v>
      </c>
      <c r="G34">
        <f t="shared" si="2"/>
        <v>1.6962679236552567</v>
      </c>
      <c r="H34">
        <f t="shared" si="3"/>
        <v>3.5170317949036938</v>
      </c>
      <c r="I34">
        <f t="shared" si="4"/>
        <v>7.0340635898073876</v>
      </c>
      <c r="T34">
        <f t="shared" si="5"/>
        <v>0.60625010949639591</v>
      </c>
      <c r="U34">
        <v>-3.4424580916317337E-3</v>
      </c>
      <c r="V34">
        <v>1.2313801045927851E-2</v>
      </c>
      <c r="W34">
        <v>3.2</v>
      </c>
      <c r="AN34">
        <f t="shared" si="7"/>
        <v>1.5500000000000007</v>
      </c>
      <c r="AO34">
        <v>4.2360314533477998</v>
      </c>
      <c r="AP34">
        <v>-0.97052211133546995</v>
      </c>
    </row>
    <row r="35" spans="1:42" x14ac:dyDescent="0.3">
      <c r="A35">
        <v>3.3</v>
      </c>
      <c r="B35">
        <v>3.3</v>
      </c>
      <c r="C35">
        <v>1.4</v>
      </c>
      <c r="D35">
        <f t="shared" si="6"/>
        <v>-0.15774569414324821</v>
      </c>
      <c r="E35">
        <f t="shared" si="0"/>
        <v>0.58671059155542016</v>
      </c>
      <c r="F35">
        <f t="shared" si="1"/>
        <v>1.7669521664995378</v>
      </c>
      <c r="G35">
        <f t="shared" si="2"/>
        <v>1.0072447911183695</v>
      </c>
      <c r="H35">
        <f t="shared" si="3"/>
        <v>2.7741969576179075</v>
      </c>
      <c r="I35">
        <f t="shared" si="4"/>
        <v>5.548393915235815</v>
      </c>
      <c r="T35">
        <f t="shared" si="5"/>
        <v>0.42896489741217192</v>
      </c>
      <c r="U35">
        <v>-3.5829474714760647E-3</v>
      </c>
      <c r="V35">
        <v>9.9148945466072495E-3</v>
      </c>
      <c r="W35">
        <v>3.3</v>
      </c>
      <c r="AN35">
        <f t="shared" si="7"/>
        <v>1.6000000000000008</v>
      </c>
      <c r="AO35">
        <v>4.1100140896544497</v>
      </c>
      <c r="AP35">
        <v>-1.81855876033582</v>
      </c>
    </row>
    <row r="36" spans="1:42" x14ac:dyDescent="0.3">
      <c r="A36">
        <v>3.4</v>
      </c>
      <c r="B36">
        <v>3.4</v>
      </c>
      <c r="C36">
        <v>1.5</v>
      </c>
      <c r="D36">
        <f t="shared" si="6"/>
        <v>-0.25554110202683122</v>
      </c>
      <c r="E36">
        <f t="shared" si="0"/>
        <v>0.50293471189677874</v>
      </c>
      <c r="F36">
        <f t="shared" si="1"/>
        <v>1.0597619394251117</v>
      </c>
      <c r="G36">
        <f t="shared" si="2"/>
        <v>6.0513815519682143E-16</v>
      </c>
      <c r="H36">
        <f t="shared" si="3"/>
        <v>1.0597619394251123</v>
      </c>
      <c r="I36">
        <f t="shared" si="4"/>
        <v>2.1195238788502246</v>
      </c>
      <c r="T36">
        <f t="shared" si="5"/>
        <v>0.24739360986994752</v>
      </c>
      <c r="U36">
        <v>-2.3047540148145276E-3</v>
      </c>
      <c r="V36">
        <v>5.5918662578582322E-3</v>
      </c>
      <c r="W36">
        <v>3.4</v>
      </c>
      <c r="AN36">
        <f t="shared" si="7"/>
        <v>1.6500000000000008</v>
      </c>
      <c r="AO36">
        <v>3.96854192721027</v>
      </c>
      <c r="AP36">
        <v>-2.4657661163963498</v>
      </c>
    </row>
    <row r="37" spans="1:42" x14ac:dyDescent="0.3">
      <c r="A37">
        <v>3.5</v>
      </c>
      <c r="B37">
        <v>3.5</v>
      </c>
      <c r="C37">
        <v>1.6</v>
      </c>
      <c r="D37">
        <f t="shared" si="6"/>
        <v>-0.35078322768961984</v>
      </c>
      <c r="E37">
        <f t="shared" si="0"/>
        <v>0.41413367484497737</v>
      </c>
      <c r="F37">
        <f t="shared" si="1"/>
        <v>1.500539924232063E-15</v>
      </c>
      <c r="G37">
        <f t="shared" si="2"/>
        <v>-0.92980413149415853</v>
      </c>
      <c r="H37">
        <f t="shared" si="3"/>
        <v>-0.92980413149415697</v>
      </c>
      <c r="I37">
        <f t="shared" si="4"/>
        <v>-1.8596082629883139</v>
      </c>
      <c r="T37">
        <f t="shared" si="5"/>
        <v>6.3350447155357537E-2</v>
      </c>
      <c r="U37">
        <v>2.0008683075596604E-18</v>
      </c>
      <c r="V37">
        <v>6.2477094157502124E-17</v>
      </c>
      <c r="W37">
        <v>3.5</v>
      </c>
      <c r="AN37">
        <f t="shared" si="7"/>
        <v>1.7000000000000008</v>
      </c>
      <c r="AO37">
        <v>3.8122653401379898</v>
      </c>
      <c r="AP37">
        <v>-2.85552616617918</v>
      </c>
    </row>
    <row r="38" spans="1:42" x14ac:dyDescent="0.3">
      <c r="A38">
        <v>3.6</v>
      </c>
      <c r="B38">
        <v>3.6</v>
      </c>
      <c r="C38">
        <v>1.7</v>
      </c>
      <c r="D38">
        <f t="shared" si="6"/>
        <v>-0.44252044329485246</v>
      </c>
      <c r="E38">
        <f t="shared" si="0"/>
        <v>0.32119475100851724</v>
      </c>
      <c r="F38">
        <f t="shared" si="1"/>
        <v>-0.99804620859302673</v>
      </c>
      <c r="G38">
        <f t="shared" si="2"/>
        <v>-1.4454641755654378</v>
      </c>
      <c r="H38">
        <f t="shared" si="3"/>
        <v>-2.4435103841584644</v>
      </c>
      <c r="I38">
        <f t="shared" si="4"/>
        <v>-4.8870207683169289</v>
      </c>
      <c r="T38">
        <f t="shared" si="5"/>
        <v>-0.12132569228633522</v>
      </c>
      <c r="U38">
        <v>2.4967102184205725E-3</v>
      </c>
      <c r="V38">
        <v>-5.9376479559877897E-3</v>
      </c>
      <c r="W38">
        <v>3.6</v>
      </c>
      <c r="AN38">
        <f t="shared" si="7"/>
        <v>1.7500000000000009</v>
      </c>
      <c r="AO38">
        <v>3.6418891961240001</v>
      </c>
      <c r="AP38">
        <v>-2.9577768218340799</v>
      </c>
    </row>
    <row r="39" spans="1:42" x14ac:dyDescent="0.3">
      <c r="A39">
        <v>3.7</v>
      </c>
      <c r="B39">
        <v>3.7</v>
      </c>
      <c r="C39">
        <v>1.8</v>
      </c>
      <c r="D39">
        <f t="shared" si="6"/>
        <v>-0.5298361409084934</v>
      </c>
      <c r="E39">
        <f t="shared" si="0"/>
        <v>0.22504655539284873</v>
      </c>
      <c r="F39">
        <f t="shared" si="1"/>
        <v>-1.5671459871700966</v>
      </c>
      <c r="G39">
        <f t="shared" si="2"/>
        <v>-1.3887867145562929</v>
      </c>
      <c r="H39">
        <f t="shared" si="3"/>
        <v>-2.9559327017263897</v>
      </c>
      <c r="I39">
        <f t="shared" si="4"/>
        <v>-5.9118654034527793</v>
      </c>
      <c r="T39">
        <f t="shared" si="5"/>
        <v>-0.30478958551564467</v>
      </c>
      <c r="U39">
        <v>4.2046278079697803E-3</v>
      </c>
      <c r="V39">
        <v>-1.1179012385041253E-2</v>
      </c>
      <c r="W39">
        <v>3.7</v>
      </c>
      <c r="AN39">
        <f t="shared" si="7"/>
        <v>1.8000000000000009</v>
      </c>
      <c r="AO39">
        <v>3.4581697506532598</v>
      </c>
      <c r="AP39">
        <v>-2.7711326138994798</v>
      </c>
    </row>
    <row r="40" spans="1:42" x14ac:dyDescent="0.3">
      <c r="A40">
        <v>3.8</v>
      </c>
      <c r="B40">
        <v>3.8</v>
      </c>
      <c r="C40">
        <v>1.9</v>
      </c>
      <c r="D40">
        <f t="shared" si="6"/>
        <v>-0.61185789094271892</v>
      </c>
      <c r="E40">
        <f t="shared" si="0"/>
        <v>0.12664976898619604</v>
      </c>
      <c r="F40">
        <f t="shared" si="1"/>
        <v>-1.5208298236676892</v>
      </c>
      <c r="G40">
        <f t="shared" si="2"/>
        <v>-0.82466228636621741</v>
      </c>
      <c r="H40">
        <f t="shared" si="3"/>
        <v>-2.3454921100339066</v>
      </c>
      <c r="I40">
        <f t="shared" si="4"/>
        <v>-4.6909842200678131</v>
      </c>
      <c r="T40">
        <f t="shared" si="5"/>
        <v>-0.48520812195652285</v>
      </c>
      <c r="U40">
        <v>4.3762219240038643E-3</v>
      </c>
      <c r="V40">
        <v>-1.4742296418212364E-2</v>
      </c>
      <c r="W40">
        <v>3.8</v>
      </c>
      <c r="AN40">
        <f t="shared" si="7"/>
        <v>1.850000000000001</v>
      </c>
      <c r="AO40">
        <v>3.2619113571651499</v>
      </c>
      <c r="AP40">
        <v>-2.3221710765358501</v>
      </c>
    </row>
    <row r="41" spans="1:42" x14ac:dyDescent="0.3">
      <c r="A41">
        <v>3.9</v>
      </c>
      <c r="B41">
        <v>3.9</v>
      </c>
      <c r="C41">
        <v>2</v>
      </c>
      <c r="D41">
        <f t="shared" si="6"/>
        <v>-0.68776615918397377</v>
      </c>
      <c r="E41">
        <f t="shared" si="0"/>
        <v>2.6987539952680412E-2</v>
      </c>
      <c r="F41">
        <f t="shared" si="1"/>
        <v>-0.91214555437488276</v>
      </c>
      <c r="G41">
        <f t="shared" si="2"/>
        <v>-6.605936233606857E-16</v>
      </c>
      <c r="H41">
        <f t="shared" si="3"/>
        <v>-0.91214555437488343</v>
      </c>
      <c r="I41">
        <f t="shared" si="4"/>
        <v>-1.8242911087497669</v>
      </c>
      <c r="T41">
        <f t="shared" si="5"/>
        <v>-0.66077861923129333</v>
      </c>
      <c r="U41">
        <v>2.8150329105751737E-3</v>
      </c>
      <c r="V41">
        <v>-1.5885540533634168E-2</v>
      </c>
      <c r="W41">
        <v>3.9</v>
      </c>
      <c r="AN41">
        <f t="shared" si="7"/>
        <v>1.900000000000001</v>
      </c>
      <c r="AO41">
        <v>3.0539630072057502</v>
      </c>
      <c r="AP41">
        <v>-1.6620375633191</v>
      </c>
    </row>
    <row r="42" spans="1:42" x14ac:dyDescent="0.3">
      <c r="A42">
        <v>4</v>
      </c>
      <c r="B42">
        <v>4</v>
      </c>
      <c r="C42">
        <v>2.1</v>
      </c>
      <c r="D42">
        <f t="shared" si="6"/>
        <v>-0.7568024953079282</v>
      </c>
      <c r="E42">
        <f t="shared" si="0"/>
        <v>-7.2944339659147747E-2</v>
      </c>
      <c r="F42">
        <f t="shared" si="1"/>
        <v>-1.4760304934066157E-15</v>
      </c>
      <c r="G42">
        <f t="shared" si="2"/>
        <v>0.76125923679323115</v>
      </c>
      <c r="H42">
        <f t="shared" si="3"/>
        <v>0.76125923679322971</v>
      </c>
      <c r="I42">
        <f t="shared" si="4"/>
        <v>1.5225184735864594</v>
      </c>
      <c r="T42">
        <f t="shared" si="5"/>
        <v>-0.82974683496707591</v>
      </c>
      <c r="U42">
        <v>-1.954228152932376E-17</v>
      </c>
      <c r="V42">
        <v>-1.4254340022342667E-2</v>
      </c>
      <c r="W42">
        <v>4</v>
      </c>
      <c r="AN42">
        <f t="shared" si="7"/>
        <v>1.9500000000000011</v>
      </c>
      <c r="AO42">
        <v>2.8352147152379001</v>
      </c>
      <c r="AP42">
        <v>-0.86077589482931005</v>
      </c>
    </row>
    <row r="43" spans="1:42" x14ac:dyDescent="0.3">
      <c r="A43">
        <v>4.0999999999999996</v>
      </c>
      <c r="B43">
        <v>4.0999999999999996</v>
      </c>
      <c r="C43">
        <v>2.2000000000000002</v>
      </c>
      <c r="D43">
        <f t="shared" si="6"/>
        <v>-0.81827711106441026</v>
      </c>
      <c r="E43">
        <f t="shared" si="0"/>
        <v>-0.17214738354129416</v>
      </c>
      <c r="F43">
        <f t="shared" si="1"/>
        <v>0.85902633257680105</v>
      </c>
      <c r="G43">
        <f t="shared" si="2"/>
        <v>1.1834459730079359</v>
      </c>
      <c r="H43">
        <f t="shared" si="3"/>
        <v>2.0424723055847371</v>
      </c>
      <c r="I43">
        <f t="shared" si="4"/>
        <v>4.0849446111694743</v>
      </c>
      <c r="T43">
        <f t="shared" si="5"/>
        <v>-0.99042449460570436</v>
      </c>
      <c r="U43">
        <v>-3.0494887471055197E-3</v>
      </c>
      <c r="V43">
        <v>-9.969284783708298E-3</v>
      </c>
      <c r="W43">
        <v>4.0999999999999996</v>
      </c>
      <c r="AN43">
        <f t="shared" si="7"/>
        <v>2.0000000000000009</v>
      </c>
      <c r="AO43">
        <v>2.6065937632957299</v>
      </c>
      <c r="AP43">
        <v>0</v>
      </c>
    </row>
    <row r="44" spans="1:42" x14ac:dyDescent="0.3">
      <c r="A44">
        <v>4.2</v>
      </c>
      <c r="B44">
        <v>4.2</v>
      </c>
      <c r="C44">
        <v>2.2999999999999998</v>
      </c>
      <c r="D44">
        <f t="shared" si="6"/>
        <v>-0.87157577241358819</v>
      </c>
      <c r="E44">
        <f t="shared" si="0"/>
        <v>-0.26963038767145625</v>
      </c>
      <c r="F44">
        <f t="shared" si="1"/>
        <v>1.3488550513798236</v>
      </c>
      <c r="G44">
        <f t="shared" si="2"/>
        <v>1.1370423926733706</v>
      </c>
      <c r="H44">
        <f t="shared" si="3"/>
        <v>2.4858974440531942</v>
      </c>
      <c r="I44">
        <f t="shared" si="4"/>
        <v>4.9717948881063885</v>
      </c>
      <c r="T44">
        <f t="shared" si="5"/>
        <v>-1.1412061600850445</v>
      </c>
      <c r="U44">
        <v>-5.1355440016912441E-3</v>
      </c>
      <c r="V44">
        <v>-3.6337334077598663E-3</v>
      </c>
      <c r="W44">
        <v>4.2</v>
      </c>
      <c r="AN44">
        <f t="shared" si="7"/>
        <v>2.0500000000000007</v>
      </c>
      <c r="AO44">
        <v>2.3690608211317699</v>
      </c>
      <c r="AP44">
        <v>0.83533612252333</v>
      </c>
    </row>
    <row r="45" spans="1:42" x14ac:dyDescent="0.3">
      <c r="A45">
        <v>4.3</v>
      </c>
      <c r="B45">
        <v>4.3</v>
      </c>
      <c r="C45">
        <v>2.4</v>
      </c>
      <c r="D45">
        <f t="shared" si="6"/>
        <v>-0.9161659367494549</v>
      </c>
      <c r="E45">
        <f t="shared" si="0"/>
        <v>-0.36441933409596056</v>
      </c>
      <c r="F45">
        <f t="shared" si="1"/>
        <v>1.3089903600158943</v>
      </c>
      <c r="G45">
        <f t="shared" si="2"/>
        <v>0.67517637475162373</v>
      </c>
      <c r="H45">
        <f t="shared" si="3"/>
        <v>1.984166734767518</v>
      </c>
      <c r="I45">
        <f t="shared" si="4"/>
        <v>3.9683334695350361</v>
      </c>
      <c r="T45">
        <f t="shared" si="5"/>
        <v>-1.2805852708454155</v>
      </c>
      <c r="U45">
        <v>-5.3451295282993198E-3</v>
      </c>
      <c r="V45">
        <v>3.7443970652047348E-3</v>
      </c>
      <c r="W45">
        <v>4.3</v>
      </c>
      <c r="AN45">
        <f t="shared" si="7"/>
        <v>2.1000000000000005</v>
      </c>
      <c r="AO45">
        <v>2.1236059579026598</v>
      </c>
      <c r="AP45">
        <v>1.56524803061871</v>
      </c>
    </row>
    <row r="46" spans="1:42" x14ac:dyDescent="0.3">
      <c r="A46">
        <v>4.4000000000000004</v>
      </c>
      <c r="B46">
        <v>4.4000000000000004</v>
      </c>
      <c r="C46">
        <v>2.5</v>
      </c>
      <c r="D46">
        <f t="shared" si="6"/>
        <v>-0.95160207388951601</v>
      </c>
      <c r="E46">
        <f t="shared" si="0"/>
        <v>-0.45556712299519508</v>
      </c>
      <c r="F46">
        <f t="shared" si="1"/>
        <v>0.78509095431111398</v>
      </c>
      <c r="G46">
        <f t="shared" si="2"/>
        <v>6.7606039341575876E-16</v>
      </c>
      <c r="H46">
        <f t="shared" si="3"/>
        <v>0.78509095431111464</v>
      </c>
      <c r="I46">
        <f t="shared" si="4"/>
        <v>1.5701819086222293</v>
      </c>
      <c r="T46">
        <f t="shared" si="5"/>
        <v>-1.4071691968847111</v>
      </c>
      <c r="U46">
        <v>-3.4382889612881557E-3</v>
      </c>
      <c r="V46">
        <v>1.0908135037267461E-2</v>
      </c>
      <c r="W46">
        <v>4.4000000000000004</v>
      </c>
      <c r="AN46">
        <f t="shared" si="7"/>
        <v>2.1500000000000004</v>
      </c>
      <c r="AO46">
        <v>1.8712445617707101</v>
      </c>
      <c r="AP46">
        <v>2.1223045643809701</v>
      </c>
    </row>
    <row r="47" spans="1:42" x14ac:dyDescent="0.3">
      <c r="A47">
        <v>4.5</v>
      </c>
      <c r="B47">
        <v>4.5</v>
      </c>
      <c r="C47">
        <v>2.6</v>
      </c>
      <c r="D47">
        <f t="shared" si="6"/>
        <v>-0.97753011766509701</v>
      </c>
      <c r="E47">
        <f t="shared" si="0"/>
        <v>-0.54216303579193015</v>
      </c>
      <c r="F47">
        <f t="shared" si="1"/>
        <v>1.4292351215118991E-15</v>
      </c>
      <c r="G47">
        <f t="shared" si="2"/>
        <v>-0.62326634822729166</v>
      </c>
      <c r="H47">
        <f t="shared" si="3"/>
        <v>-0.62326634822729021</v>
      </c>
      <c r="I47">
        <f t="shared" si="4"/>
        <v>-1.2465326964545804</v>
      </c>
      <c r="T47">
        <f t="shared" si="5"/>
        <v>-1.5196931534570273</v>
      </c>
      <c r="U47">
        <v>4.4753048363371985E-17</v>
      </c>
      <c r="V47">
        <v>1.6561180345450077E-2</v>
      </c>
      <c r="W47">
        <v>4.5</v>
      </c>
      <c r="AN47">
        <f t="shared" si="7"/>
        <v>2.2000000000000002</v>
      </c>
      <c r="AO47">
        <v>1.6130131840641999</v>
      </c>
      <c r="AP47">
        <v>2.4577741481208801</v>
      </c>
    </row>
    <row r="48" spans="1:42" x14ac:dyDescent="0.3">
      <c r="A48">
        <v>4.5999999999999996</v>
      </c>
      <c r="B48">
        <v>4.5999999999999996</v>
      </c>
      <c r="C48">
        <v>2.7</v>
      </c>
      <c r="D48">
        <f t="shared" si="6"/>
        <v>-0.99369100363346441</v>
      </c>
      <c r="E48">
        <f t="shared" si="0"/>
        <v>-0.62334183475030469</v>
      </c>
      <c r="F48">
        <f t="shared" si="1"/>
        <v>-0.73937081640801683</v>
      </c>
      <c r="G48">
        <f t="shared" si="2"/>
        <v>-0.96892361270789162</v>
      </c>
      <c r="H48">
        <f t="shared" si="3"/>
        <v>-1.7082944291159086</v>
      </c>
      <c r="I48">
        <f t="shared" si="4"/>
        <v>-3.4165888582318171</v>
      </c>
      <c r="T48">
        <f t="shared" si="5"/>
        <v>-1.6170328383837691</v>
      </c>
      <c r="U48">
        <v>3.7246539666930287E-3</v>
      </c>
      <c r="V48">
        <v>1.9597642826898003E-2</v>
      </c>
      <c r="W48">
        <v>4.5999999999999996</v>
      </c>
      <c r="AN48">
        <f t="shared" si="7"/>
        <v>2.25</v>
      </c>
      <c r="AO48">
        <v>1.34996532483702</v>
      </c>
      <c r="AP48">
        <v>2.5457821030377499</v>
      </c>
    </row>
    <row r="49" spans="1:42" x14ac:dyDescent="0.3">
      <c r="A49">
        <v>4.7</v>
      </c>
      <c r="B49">
        <v>4.7</v>
      </c>
      <c r="C49">
        <v>2.8</v>
      </c>
      <c r="D49">
        <f t="shared" si="6"/>
        <v>-0.99992325756410083</v>
      </c>
      <c r="E49">
        <f t="shared" si="0"/>
        <v>-0.6982924081452706</v>
      </c>
      <c r="F49">
        <f t="shared" si="1"/>
        <v>-1.1609703017638453</v>
      </c>
      <c r="G49">
        <f t="shared" si="2"/>
        <v>-0.93093157443505858</v>
      </c>
      <c r="H49">
        <f t="shared" si="3"/>
        <v>-2.0919018761989037</v>
      </c>
      <c r="I49">
        <f t="shared" si="4"/>
        <v>-4.1838037523978073</v>
      </c>
      <c r="T49">
        <f t="shared" si="5"/>
        <v>-1.6982156657093714</v>
      </c>
      <c r="U49">
        <v>6.2725676083186044E-3</v>
      </c>
      <c r="V49">
        <v>1.9311884230030281E-2</v>
      </c>
      <c r="W49">
        <v>4.7</v>
      </c>
      <c r="AN49">
        <f t="shared" si="7"/>
        <v>2.2999999999999998</v>
      </c>
      <c r="AO49">
        <v>1.08316717679858</v>
      </c>
      <c r="AP49">
        <v>2.3851359445149001</v>
      </c>
    </row>
    <row r="50" spans="1:42" x14ac:dyDescent="0.3">
      <c r="A50">
        <v>4.8</v>
      </c>
      <c r="B50">
        <v>4.8</v>
      </c>
      <c r="C50">
        <v>2.9</v>
      </c>
      <c r="D50">
        <f t="shared" si="6"/>
        <v>-0.99616460883584068</v>
      </c>
      <c r="E50">
        <f t="shared" si="0"/>
        <v>-0.76626587462282947</v>
      </c>
      <c r="F50">
        <f t="shared" si="1"/>
        <v>-1.1266584439291882</v>
      </c>
      <c r="G50">
        <f t="shared" si="2"/>
        <v>-0.5527876617608587</v>
      </c>
      <c r="H50">
        <f t="shared" si="3"/>
        <v>-1.6794461056900469</v>
      </c>
      <c r="I50">
        <f t="shared" si="4"/>
        <v>-3.3588922113800939</v>
      </c>
      <c r="T50">
        <f t="shared" si="5"/>
        <v>-1.7624304834586701</v>
      </c>
      <c r="U50">
        <v>6.5285559485881821E-3</v>
      </c>
      <c r="V50">
        <v>1.5549649935294179E-2</v>
      </c>
      <c r="W50">
        <v>4.8</v>
      </c>
      <c r="AN50">
        <f t="shared" si="7"/>
        <v>2.3499999999999996</v>
      </c>
      <c r="AO50">
        <v>0.81369334464779997</v>
      </c>
      <c r="AP50">
        <v>1.9987111681979699</v>
      </c>
    </row>
    <row r="51" spans="1:42" x14ac:dyDescent="0.3">
      <c r="A51">
        <v>4.9000000000000004</v>
      </c>
      <c r="B51">
        <v>4.9000000000000004</v>
      </c>
      <c r="C51">
        <v>3</v>
      </c>
      <c r="D51">
        <f t="shared" si="6"/>
        <v>-0.98245261262433248</v>
      </c>
      <c r="E51">
        <f t="shared" si="0"/>
        <v>-0.82658306577497964</v>
      </c>
      <c r="F51">
        <f t="shared" si="1"/>
        <v>-0.67573404659473668</v>
      </c>
      <c r="G51">
        <f t="shared" si="2"/>
        <v>-6.6421372203297681E-16</v>
      </c>
      <c r="H51">
        <f t="shared" si="3"/>
        <v>-0.67573404659473735</v>
      </c>
      <c r="I51">
        <f t="shared" si="4"/>
        <v>-1.3514680931894747</v>
      </c>
      <c r="T51">
        <f t="shared" si="5"/>
        <v>-1.809035678399312</v>
      </c>
      <c r="U51">
        <v>4.1995356206689996E-3</v>
      </c>
      <c r="V51">
        <v>8.7697919918301101E-3</v>
      </c>
      <c r="W51">
        <v>4.9000000000000004</v>
      </c>
      <c r="AN51">
        <f t="shared" si="7"/>
        <v>2.3999999999999995</v>
      </c>
      <c r="AO51">
        <v>0.54262255683987004</v>
      </c>
      <c r="AP51">
        <v>1.4305289878668099</v>
      </c>
    </row>
    <row r="52" spans="1:42" x14ac:dyDescent="0.3">
      <c r="A52">
        <v>5</v>
      </c>
      <c r="B52">
        <v>5</v>
      </c>
      <c r="C52">
        <v>3.1</v>
      </c>
      <c r="D52">
        <f t="shared" si="6"/>
        <v>-0.95892427466313845</v>
      </c>
      <c r="E52">
        <f t="shared" si="0"/>
        <v>-0.8786413121659401</v>
      </c>
      <c r="F52">
        <f t="shared" si="1"/>
        <v>-1.3668378547468087E-15</v>
      </c>
      <c r="G52">
        <f t="shared" si="2"/>
        <v>0.51028732665229404</v>
      </c>
      <c r="H52">
        <f t="shared" si="3"/>
        <v>0.51028732665229271</v>
      </c>
      <c r="I52">
        <f t="shared" si="4"/>
        <v>1.0205746533045854</v>
      </c>
      <c r="T52">
        <f t="shared" si="5"/>
        <v>-1.8375655868290786</v>
      </c>
      <c r="U52">
        <v>-8.0169335180492041E-17</v>
      </c>
      <c r="V52">
        <v>-2.1230901561429449E-16</v>
      </c>
      <c r="W52">
        <v>5</v>
      </c>
      <c r="AN52">
        <f t="shared" si="7"/>
        <v>2.4499999999999993</v>
      </c>
      <c r="AO52">
        <v>0.27103338674249</v>
      </c>
      <c r="AP52">
        <v>0.74087667859399997</v>
      </c>
    </row>
    <row r="53" spans="1:42" x14ac:dyDescent="0.3">
      <c r="A53">
        <v>5.0999999999999996</v>
      </c>
      <c r="B53">
        <v>5.0999999999999996</v>
      </c>
      <c r="C53">
        <v>3.2</v>
      </c>
      <c r="D53">
        <f t="shared" si="6"/>
        <v>-0.92581468232773245</v>
      </c>
      <c r="E53">
        <f t="shared" si="0"/>
        <v>-0.92192046500594138</v>
      </c>
      <c r="F53">
        <f t="shared" si="1"/>
        <v>0.63638235921828712</v>
      </c>
      <c r="G53">
        <f t="shared" si="2"/>
        <v>0.79328755910737081</v>
      </c>
      <c r="H53">
        <f t="shared" si="3"/>
        <v>1.4296699183256578</v>
      </c>
      <c r="I53">
        <f t="shared" si="4"/>
        <v>2.8593398366513156</v>
      </c>
      <c r="T53">
        <f t="shared" si="5"/>
        <v>-1.8477351473336738</v>
      </c>
      <c r="U53">
        <v>-4.5493026281111003E-3</v>
      </c>
      <c r="V53">
        <v>-9.3120856425261342E-3</v>
      </c>
      <c r="W53">
        <v>5.0999999999999996</v>
      </c>
      <c r="AN53">
        <f t="shared" si="7"/>
        <v>2.4999999999999991</v>
      </c>
      <c r="AO53">
        <v>0</v>
      </c>
      <c r="AP53">
        <v>0</v>
      </c>
    </row>
    <row r="54" spans="1:42" x14ac:dyDescent="0.3">
      <c r="A54">
        <v>5.2</v>
      </c>
      <c r="B54">
        <v>5.2</v>
      </c>
      <c r="C54">
        <v>3.3</v>
      </c>
      <c r="D54">
        <f t="shared" si="6"/>
        <v>-0.88345465572015314</v>
      </c>
      <c r="E54">
        <f t="shared" si="0"/>
        <v>-0.95598809330599244</v>
      </c>
      <c r="F54">
        <f t="shared" si="1"/>
        <v>0.99925639912074782</v>
      </c>
      <c r="G54">
        <f t="shared" si="2"/>
        <v>0.76218230900128681</v>
      </c>
      <c r="H54">
        <f t="shared" si="3"/>
        <v>1.7614387081220346</v>
      </c>
      <c r="I54">
        <f t="shared" si="4"/>
        <v>3.5228774162440692</v>
      </c>
      <c r="T54">
        <f t="shared" si="5"/>
        <v>-1.8394427490261456</v>
      </c>
      <c r="U54">
        <v>-7.6613313775464919E-3</v>
      </c>
      <c r="V54">
        <v>-1.7532181345205695E-2</v>
      </c>
      <c r="W54">
        <v>5.2</v>
      </c>
      <c r="AN54">
        <f t="shared" si="7"/>
        <v>2.5499999999999989</v>
      </c>
      <c r="AO54">
        <v>-0.26941205528041001</v>
      </c>
      <c r="AP54">
        <v>-0.71898046365181001</v>
      </c>
    </row>
    <row r="55" spans="1:42" x14ac:dyDescent="0.3">
      <c r="A55">
        <v>5.3</v>
      </c>
      <c r="B55">
        <v>5.3</v>
      </c>
      <c r="C55">
        <v>3.4</v>
      </c>
      <c r="D55">
        <f t="shared" si="6"/>
        <v>-0.83226744222390125</v>
      </c>
      <c r="E55">
        <f t="shared" si="0"/>
        <v>-0.98050380458537911</v>
      </c>
      <c r="F55">
        <f t="shared" si="1"/>
        <v>0.96972390939649733</v>
      </c>
      <c r="G55">
        <f t="shared" si="2"/>
        <v>0.45258425860568458</v>
      </c>
      <c r="H55">
        <f t="shared" si="3"/>
        <v>1.4223081680021818</v>
      </c>
      <c r="I55">
        <f t="shared" si="4"/>
        <v>2.8446163360043637</v>
      </c>
      <c r="T55">
        <f t="shared" si="5"/>
        <v>-1.8127712468092803</v>
      </c>
      <c r="U55">
        <v>-7.9739962424085816E-3</v>
      </c>
      <c r="V55">
        <v>-2.3120523114790521E-2</v>
      </c>
      <c r="W55">
        <v>5.3</v>
      </c>
      <c r="AN55">
        <f t="shared" si="7"/>
        <v>2.5999999999999988</v>
      </c>
      <c r="AO55">
        <v>-0.53614999917428996</v>
      </c>
      <c r="AP55">
        <v>-1.3472214650371299</v>
      </c>
    </row>
    <row r="56" spans="1:42" x14ac:dyDescent="0.3">
      <c r="A56">
        <v>5.4</v>
      </c>
      <c r="B56">
        <v>5.4</v>
      </c>
      <c r="C56">
        <v>3.5</v>
      </c>
      <c r="D56">
        <f t="shared" si="6"/>
        <v>-0.77276448755598715</v>
      </c>
      <c r="E56">
        <f t="shared" si="0"/>
        <v>-0.995222645960815</v>
      </c>
      <c r="F56">
        <f t="shared" si="1"/>
        <v>0.58160968384607448</v>
      </c>
      <c r="G56">
        <f t="shared" si="2"/>
        <v>6.3444756765225314E-16</v>
      </c>
      <c r="H56">
        <f t="shared" si="3"/>
        <v>0.58160968384607514</v>
      </c>
      <c r="I56">
        <f t="shared" si="4"/>
        <v>1.1632193676921503</v>
      </c>
      <c r="T56">
        <f t="shared" si="5"/>
        <v>-1.7679871335168023</v>
      </c>
      <c r="U56">
        <v>-5.1293243900769735E-3</v>
      </c>
      <c r="V56">
        <v>-2.4913486791996467E-2</v>
      </c>
      <c r="W56">
        <v>5.4</v>
      </c>
      <c r="AN56">
        <f t="shared" si="7"/>
        <v>2.6499999999999986</v>
      </c>
      <c r="AO56">
        <v>-0.79917789540235995</v>
      </c>
      <c r="AP56">
        <v>-1.8266844669660101</v>
      </c>
    </row>
    <row r="57" spans="1:42" x14ac:dyDescent="0.3">
      <c r="A57">
        <v>5.5</v>
      </c>
      <c r="B57">
        <v>5.5</v>
      </c>
      <c r="C57">
        <v>3.6</v>
      </c>
      <c r="D57">
        <f t="shared" si="6"/>
        <v>-0.70554032557039192</v>
      </c>
      <c r="E57">
        <f t="shared" si="0"/>
        <v>-0.99999755163467863</v>
      </c>
      <c r="F57">
        <f t="shared" si="1"/>
        <v>4.7055847553130194E-15</v>
      </c>
      <c r="G57">
        <f t="shared" si="2"/>
        <v>-0.41778792723618285</v>
      </c>
      <c r="H57">
        <f t="shared" si="3"/>
        <v>-0.41778792723617814</v>
      </c>
      <c r="I57">
        <f t="shared" si="4"/>
        <v>-0.83557585447235627</v>
      </c>
      <c r="T57">
        <f t="shared" si="5"/>
        <v>-1.7055378772050704</v>
      </c>
      <c r="U57">
        <v>1.9694888593531525E-21</v>
      </c>
      <c r="V57">
        <v>-2.2355255153160308E-2</v>
      </c>
      <c r="W57">
        <v>5.5</v>
      </c>
      <c r="AN57">
        <f t="shared" si="7"/>
        <v>2.6999999999999984</v>
      </c>
      <c r="AO57">
        <v>-1.0574806359872699</v>
      </c>
      <c r="AP57">
        <v>-2.1154258135389399</v>
      </c>
    </row>
    <row r="58" spans="1:42" x14ac:dyDescent="0.3">
      <c r="A58">
        <v>5.6</v>
      </c>
      <c r="B58">
        <v>5.6</v>
      </c>
      <c r="C58">
        <v>3.7</v>
      </c>
      <c r="D58">
        <f t="shared" si="6"/>
        <v>-0.63126663787232162</v>
      </c>
      <c r="E58">
        <f t="shared" si="0"/>
        <v>-0.99478081232785076</v>
      </c>
      <c r="F58">
        <f t="shared" si="1"/>
        <v>-0.54773937263537864</v>
      </c>
      <c r="G58">
        <f t="shared" si="2"/>
        <v>-0.64948892067537167</v>
      </c>
      <c r="H58">
        <f t="shared" si="3"/>
        <v>-1.1972282933107503</v>
      </c>
      <c r="I58">
        <f t="shared" si="4"/>
        <v>-2.3944565866215006</v>
      </c>
      <c r="T58">
        <f t="shared" si="5"/>
        <v>-1.6260474502001725</v>
      </c>
      <c r="U58">
        <v>5.5565307776802349E-3</v>
      </c>
      <c r="V58">
        <v>-1.5634950806911591E-2</v>
      </c>
      <c r="W58">
        <v>5.6</v>
      </c>
      <c r="AN58">
        <f t="shared" si="7"/>
        <v>2.7499999999999982</v>
      </c>
      <c r="AO58">
        <v>-1.3100678199334499</v>
      </c>
      <c r="AP58">
        <v>-2.1911749623247498</v>
      </c>
    </row>
    <row r="59" spans="1:42" x14ac:dyDescent="0.3">
      <c r="A59">
        <v>5.7</v>
      </c>
      <c r="B59">
        <v>5.7</v>
      </c>
      <c r="C59">
        <v>3.8</v>
      </c>
      <c r="D59">
        <f t="shared" si="6"/>
        <v>-0.55068554259763758</v>
      </c>
      <c r="E59">
        <f t="shared" si="0"/>
        <v>-0.97962455197506038</v>
      </c>
      <c r="F59">
        <f t="shared" si="1"/>
        <v>-0.8600679532170098</v>
      </c>
      <c r="G59">
        <f t="shared" si="2"/>
        <v>-0.62402209583133861</v>
      </c>
      <c r="H59">
        <f t="shared" si="3"/>
        <v>-1.4840900490483484</v>
      </c>
      <c r="I59">
        <f t="shared" si="4"/>
        <v>-2.9681800980966968</v>
      </c>
      <c r="T59">
        <f t="shared" si="5"/>
        <v>-1.530310094572698</v>
      </c>
      <c r="U59">
        <v>9.3575712757143093E-3</v>
      </c>
      <c r="V59">
        <v>-5.6988283822125216E-3</v>
      </c>
      <c r="W59">
        <v>5.7</v>
      </c>
      <c r="AN59">
        <f t="shared" si="7"/>
        <v>2.799999999999998</v>
      </c>
      <c r="AO59">
        <v>-1.55597751126784</v>
      </c>
      <c r="AP59">
        <v>-2.0529055323020899</v>
      </c>
    </row>
    <row r="60" spans="1:42" x14ac:dyDescent="0.3">
      <c r="A60">
        <v>5.8</v>
      </c>
      <c r="B60">
        <v>5.8</v>
      </c>
      <c r="C60">
        <v>3.9</v>
      </c>
      <c r="D60">
        <f t="shared" si="6"/>
        <v>-0.46460217941375737</v>
      </c>
      <c r="E60">
        <f t="shared" si="0"/>
        <v>-0.9546802069197593</v>
      </c>
      <c r="F60">
        <f t="shared" si="1"/>
        <v>-0.83464910374765411</v>
      </c>
      <c r="G60">
        <f t="shared" si="2"/>
        <v>-0.37054465087947225</v>
      </c>
      <c r="H60">
        <f t="shared" si="3"/>
        <v>-1.2051937546271263</v>
      </c>
      <c r="I60">
        <f t="shared" si="4"/>
        <v>-2.4103875092542526</v>
      </c>
      <c r="T60">
        <f t="shared" si="5"/>
        <v>-1.4192823863335167</v>
      </c>
      <c r="U60">
        <v>9.7394610040366612E-3</v>
      </c>
      <c r="V60">
        <v>5.8723835446740091E-3</v>
      </c>
      <c r="W60">
        <v>5.8</v>
      </c>
      <c r="AN60">
        <f t="shared" si="7"/>
        <v>2.8499999999999979</v>
      </c>
      <c r="AO60">
        <v>-1.79427986234253</v>
      </c>
      <c r="AP60">
        <v>-1.7203066450378399</v>
      </c>
    </row>
    <row r="61" spans="1:42" x14ac:dyDescent="0.3">
      <c r="A61">
        <v>5.9</v>
      </c>
      <c r="B61">
        <v>5.9</v>
      </c>
      <c r="C61">
        <v>4</v>
      </c>
      <c r="D61">
        <f t="shared" si="6"/>
        <v>-0.37387666483023602</v>
      </c>
      <c r="E61">
        <f t="shared" si="0"/>
        <v>-0.92019701281223532</v>
      </c>
      <c r="F61">
        <f t="shared" si="1"/>
        <v>-0.50059609405237004</v>
      </c>
      <c r="G61">
        <f t="shared" si="2"/>
        <v>-5.9364769697419789E-16</v>
      </c>
      <c r="H61">
        <f t="shared" si="3"/>
        <v>-0.5005960940523706</v>
      </c>
      <c r="I61">
        <f t="shared" si="4"/>
        <v>-1.0011921881047412</v>
      </c>
      <c r="T61">
        <f t="shared" si="5"/>
        <v>-1.2940736776424713</v>
      </c>
      <c r="U61">
        <v>6.264970957538335E-3</v>
      </c>
      <c r="V61">
        <v>1.7107361099918814E-2</v>
      </c>
      <c r="W61">
        <v>5.9</v>
      </c>
      <c r="AN61">
        <f t="shared" si="7"/>
        <v>2.8999999999999977</v>
      </c>
      <c r="AO61">
        <v>-2.0240805889161102</v>
      </c>
      <c r="AP61">
        <v>-1.23126771036422</v>
      </c>
    </row>
    <row r="62" spans="1:42" x14ac:dyDescent="0.3">
      <c r="A62">
        <v>6</v>
      </c>
      <c r="B62">
        <v>6</v>
      </c>
      <c r="C62">
        <v>4.0999999999999996</v>
      </c>
      <c r="D62">
        <f t="shared" si="6"/>
        <v>-0.27941549819892586</v>
      </c>
      <c r="E62">
        <f t="shared" si="0"/>
        <v>-0.87651951432938302</v>
      </c>
      <c r="F62">
        <f t="shared" si="1"/>
        <v>-1.2150940650167367E-15</v>
      </c>
      <c r="G62">
        <f t="shared" si="2"/>
        <v>0.34205582429296738</v>
      </c>
      <c r="H62">
        <f t="shared" si="3"/>
        <v>0.34205582429296616</v>
      </c>
      <c r="I62">
        <f t="shared" si="4"/>
        <v>0.68411164858593232</v>
      </c>
      <c r="T62">
        <f t="shared" si="5"/>
        <v>-1.155935012528309</v>
      </c>
      <c r="U62">
        <v>-3.8055628957178343E-17</v>
      </c>
      <c r="V62">
        <v>2.5973100941869613E-2</v>
      </c>
      <c r="W62">
        <v>6</v>
      </c>
      <c r="AN62">
        <f t="shared" si="7"/>
        <v>2.9499999999999975</v>
      </c>
      <c r="AO62">
        <v>-2.2445242841957498</v>
      </c>
      <c r="AP62">
        <v>-0.63767846681315998</v>
      </c>
    </row>
    <row r="63" spans="1:42" x14ac:dyDescent="0.3">
      <c r="A63">
        <v>6.1</v>
      </c>
      <c r="B63">
        <v>6.1</v>
      </c>
      <c r="C63">
        <v>4.2</v>
      </c>
      <c r="D63">
        <f t="shared" si="6"/>
        <v>-0.18216250427209588</v>
      </c>
      <c r="E63">
        <f t="shared" si="0"/>
        <v>-0.82408412259818131</v>
      </c>
      <c r="F63">
        <f t="shared" si="1"/>
        <v>0.47144364702932512</v>
      </c>
      <c r="G63">
        <f t="shared" si="2"/>
        <v>0.53175655314035275</v>
      </c>
      <c r="H63">
        <f t="shared" si="3"/>
        <v>1.0032002001696778</v>
      </c>
      <c r="I63">
        <f t="shared" si="4"/>
        <v>2.0064004003393556</v>
      </c>
      <c r="T63">
        <f t="shared" si="5"/>
        <v>-1.0062466268702772</v>
      </c>
      <c r="U63">
        <v>-6.7867620176605458E-3</v>
      </c>
      <c r="V63">
        <v>3.0735222052308185E-2</v>
      </c>
      <c r="W63">
        <v>6.1</v>
      </c>
      <c r="AN63">
        <f t="shared" si="7"/>
        <v>2.9999999999999973</v>
      </c>
      <c r="AO63">
        <v>-2.4547975597338101</v>
      </c>
      <c r="AP63">
        <v>0</v>
      </c>
    </row>
    <row r="64" spans="1:42" x14ac:dyDescent="0.3">
      <c r="A64">
        <v>6.2</v>
      </c>
      <c r="B64">
        <v>6.2</v>
      </c>
      <c r="C64">
        <v>4.3</v>
      </c>
      <c r="D64">
        <f t="shared" si="6"/>
        <v>-8.3089402817496397E-2</v>
      </c>
      <c r="E64">
        <f t="shared" si="0"/>
        <v>-0.76341475471997178</v>
      </c>
      <c r="F64">
        <f t="shared" si="1"/>
        <v>0.74026734760145307</v>
      </c>
      <c r="G64">
        <f t="shared" si="2"/>
        <v>0.51090608045729247</v>
      </c>
      <c r="H64">
        <f t="shared" si="3"/>
        <v>1.2511734280587454</v>
      </c>
      <c r="I64">
        <f t="shared" si="4"/>
        <v>2.5023468561174909</v>
      </c>
      <c r="T64">
        <f t="shared" si="5"/>
        <v>-0.84650415753746822</v>
      </c>
      <c r="U64">
        <v>-1.1429363365837853E-2</v>
      </c>
      <c r="V64">
        <v>3.0287063362731927E-2</v>
      </c>
      <c r="W64">
        <v>6.2</v>
      </c>
      <c r="AN64">
        <f t="shared" si="7"/>
        <v>3.0499999999999972</v>
      </c>
      <c r="AO64">
        <v>-2.6541320018279699</v>
      </c>
      <c r="AP64">
        <v>0.61883221995890003</v>
      </c>
    </row>
    <row r="65" spans="1:42" x14ac:dyDescent="0.3">
      <c r="A65">
        <v>6.3</v>
      </c>
      <c r="B65">
        <v>6.3</v>
      </c>
      <c r="C65">
        <v>4.4000000000000004</v>
      </c>
      <c r="D65">
        <f t="shared" si="6"/>
        <v>1.6813900484349713E-2</v>
      </c>
      <c r="E65">
        <f t="shared" si="0"/>
        <v>-0.69511759896396785</v>
      </c>
      <c r="F65">
        <f t="shared" si="1"/>
        <v>0.71838914111163255</v>
      </c>
      <c r="G65">
        <f t="shared" si="2"/>
        <v>0.30337630106356667</v>
      </c>
      <c r="H65">
        <f t="shared" si="3"/>
        <v>1.0217654421751992</v>
      </c>
      <c r="I65">
        <f t="shared" si="4"/>
        <v>2.0435308843503983</v>
      </c>
      <c r="T65">
        <f t="shared" si="5"/>
        <v>-0.67830369847961813</v>
      </c>
      <c r="U65">
        <v>-1.1895804533323772E-2</v>
      </c>
      <c r="V65">
        <v>2.4386705473628128E-2</v>
      </c>
      <c r="W65">
        <v>6.3</v>
      </c>
      <c r="AN65">
        <f t="shared" si="7"/>
        <v>3.099999999999997</v>
      </c>
      <c r="AO65">
        <v>-2.8418069328694502</v>
      </c>
      <c r="AP65">
        <v>1.15956426096851</v>
      </c>
    </row>
    <row r="66" spans="1:42" x14ac:dyDescent="0.3">
      <c r="A66">
        <v>6.4</v>
      </c>
      <c r="B66">
        <v>6.4</v>
      </c>
      <c r="C66">
        <v>4.5</v>
      </c>
      <c r="D66">
        <f t="shared" si="6"/>
        <v>0.11654920485049364</v>
      </c>
      <c r="E66">
        <f t="shared" si="0"/>
        <v>-0.6198750579344442</v>
      </c>
      <c r="F66">
        <f t="shared" si="1"/>
        <v>0.43086705111810553</v>
      </c>
      <c r="G66">
        <f t="shared" si="2"/>
        <v>5.4679232925753144E-16</v>
      </c>
      <c r="H66">
        <f t="shared" si="3"/>
        <v>0.43086705111810608</v>
      </c>
      <c r="I66">
        <f t="shared" si="4"/>
        <v>0.86173410223621216</v>
      </c>
      <c r="T66">
        <f t="shared" si="5"/>
        <v>-0.50332585308395061</v>
      </c>
      <c r="U66">
        <v>-7.6520528073306488E-3</v>
      </c>
      <c r="V66">
        <v>1.3753771645001481E-2</v>
      </c>
      <c r="W66">
        <v>6.4</v>
      </c>
      <c r="AN66">
        <f t="shared" si="7"/>
        <v>3.1499999999999968</v>
      </c>
      <c r="AO66">
        <v>-3.0171519679161198</v>
      </c>
      <c r="AP66">
        <v>1.5722418911294</v>
      </c>
    </row>
    <row r="67" spans="1:42" x14ac:dyDescent="0.3">
      <c r="A67">
        <v>6.5</v>
      </c>
      <c r="B67">
        <v>6.5</v>
      </c>
      <c r="C67">
        <v>4.5999999999999996</v>
      </c>
      <c r="D67">
        <f t="shared" si="6"/>
        <v>0.21511998808781552</v>
      </c>
      <c r="E67">
        <f t="shared" ref="E67:E130" si="8">SIN(B67-(PI()/4))</f>
        <v>-0.53843893022949174</v>
      </c>
      <c r="F67">
        <f t="shared" ref="F67:F130" si="9">($J$3*EXP(-$K$3*B67)*SIN(2*PI()*B67/$L$3)+$M$3)</f>
        <v>-1.3943006179647017E-15</v>
      </c>
      <c r="G67">
        <f t="shared" ref="G67:G130" si="10">($N$3*EXP(-$O$3*C67)*SIN(2*PI()*C67/$P$3)+$Q$3)</f>
        <v>-0.28005162261809097</v>
      </c>
      <c r="H67">
        <f t="shared" ref="H67:H130" si="11">F67+G67</f>
        <v>-0.28005162261809236</v>
      </c>
      <c r="I67">
        <f t="shared" ref="I67:I130" si="12">H67*2</f>
        <v>-0.56010324523618471</v>
      </c>
      <c r="T67">
        <f t="shared" ref="T67:T130" si="13">D67+E67</f>
        <v>-0.32331894214167622</v>
      </c>
      <c r="U67">
        <v>9.2959562211513213E-17</v>
      </c>
      <c r="V67">
        <v>-7.684198333349258E-17</v>
      </c>
      <c r="W67">
        <v>6.5</v>
      </c>
      <c r="AN67">
        <f t="shared" si="7"/>
        <v>3.1999999999999966</v>
      </c>
      <c r="AO67">
        <v>-3.1795493576332898</v>
      </c>
      <c r="AP67">
        <v>1.82076387124844</v>
      </c>
    </row>
    <row r="68" spans="1:42" x14ac:dyDescent="0.3">
      <c r="A68">
        <v>6.6</v>
      </c>
      <c r="B68">
        <v>6.6</v>
      </c>
      <c r="C68">
        <v>4.7</v>
      </c>
      <c r="D68">
        <f t="shared" ref="D68:D131" si="14">SIN(B68)</f>
        <v>0.31154136351337786</v>
      </c>
      <c r="E68">
        <f t="shared" si="8"/>
        <v>-0.4516228987179331</v>
      </c>
      <c r="F68">
        <f t="shared" si="9"/>
        <v>-0.40577530743306156</v>
      </c>
      <c r="G68">
        <f t="shared" si="10"/>
        <v>-0.43536544320675291</v>
      </c>
      <c r="H68">
        <f t="shared" si="11"/>
        <v>-0.84114075063981453</v>
      </c>
      <c r="I68">
        <f t="shared" si="12"/>
        <v>-1.6822815012796291</v>
      </c>
      <c r="T68">
        <f t="shared" si="13"/>
        <v>-0.14008153520455524</v>
      </c>
      <c r="U68">
        <v>8.2893698473471469E-3</v>
      </c>
      <c r="V68">
        <v>-1.4604257385501781E-2</v>
      </c>
      <c r="W68">
        <v>6.6</v>
      </c>
      <c r="AN68">
        <f t="shared" si="7"/>
        <v>3.2499999999999964</v>
      </c>
      <c r="AO68">
        <v>-3.3284361096400898</v>
      </c>
      <c r="AP68">
        <v>1.8859617678157801</v>
      </c>
    </row>
    <row r="69" spans="1:42" x14ac:dyDescent="0.3">
      <c r="A69">
        <v>6.7</v>
      </c>
      <c r="B69">
        <v>6.7</v>
      </c>
      <c r="C69">
        <v>4.8</v>
      </c>
      <c r="D69">
        <f t="shared" si="14"/>
        <v>0.4048499206165983</v>
      </c>
      <c r="E69">
        <f t="shared" si="8"/>
        <v>-0.36029440048906625</v>
      </c>
      <c r="F69">
        <f t="shared" si="9"/>
        <v>-0.63715401076759226</v>
      </c>
      <c r="G69">
        <f t="shared" si="10"/>
        <v>-0.41829452000491912</v>
      </c>
      <c r="H69">
        <f t="shared" si="11"/>
        <v>-1.0554485307725114</v>
      </c>
      <c r="I69">
        <f t="shared" si="12"/>
        <v>-2.1108970615450229</v>
      </c>
      <c r="T69">
        <f t="shared" si="13"/>
        <v>4.4555520127532056E-2</v>
      </c>
      <c r="U69">
        <v>1.3959855939049172E-2</v>
      </c>
      <c r="V69">
        <v>-2.7495933641909508E-2</v>
      </c>
      <c r="W69">
        <v>6.7</v>
      </c>
      <c r="AN69">
        <f t="shared" ref="AN69:AN102" si="15">AN68+0.05</f>
        <v>3.2999999999999963</v>
      </c>
      <c r="AO69">
        <v>-3.4633058812212898</v>
      </c>
      <c r="AP69">
        <v>1.76695216649954</v>
      </c>
    </row>
    <row r="70" spans="1:42" x14ac:dyDescent="0.3">
      <c r="A70">
        <v>6.8</v>
      </c>
      <c r="B70">
        <v>6.8</v>
      </c>
      <c r="C70">
        <v>4.9000000000000004</v>
      </c>
      <c r="D70">
        <f t="shared" si="14"/>
        <v>0.49411335113860816</v>
      </c>
      <c r="E70">
        <f t="shared" si="8"/>
        <v>-0.26536595970800791</v>
      </c>
      <c r="F70">
        <f t="shared" si="9"/>
        <v>-0.61832326393192771</v>
      </c>
      <c r="G70">
        <f t="shared" si="10"/>
        <v>-0.2483835074357866</v>
      </c>
      <c r="H70">
        <f t="shared" si="11"/>
        <v>-0.86670677136771435</v>
      </c>
      <c r="I70">
        <f t="shared" si="12"/>
        <v>-1.7334135427354287</v>
      </c>
      <c r="T70">
        <f t="shared" si="13"/>
        <v>0.22874739143060024</v>
      </c>
      <c r="U70">
        <v>1.4529568467535963E-2</v>
      </c>
      <c r="V70">
        <v>-3.6260198135833074E-2</v>
      </c>
      <c r="W70">
        <v>6.8</v>
      </c>
      <c r="AN70">
        <f t="shared" si="15"/>
        <v>3.3499999999999961</v>
      </c>
      <c r="AO70">
        <v>-3.58371063730783</v>
      </c>
      <c r="AP70">
        <v>1.4806816512811001</v>
      </c>
    </row>
    <row r="71" spans="1:42" x14ac:dyDescent="0.3">
      <c r="A71">
        <v>6.9</v>
      </c>
      <c r="B71">
        <v>6.9</v>
      </c>
      <c r="C71">
        <v>5</v>
      </c>
      <c r="D71">
        <f t="shared" si="14"/>
        <v>0.57843976438820011</v>
      </c>
      <c r="E71">
        <f t="shared" si="8"/>
        <v>-0.16778606997587012</v>
      </c>
      <c r="F71">
        <f t="shared" si="9"/>
        <v>-0.37085070767609485</v>
      </c>
      <c r="G71">
        <f t="shared" si="10"/>
        <v>-4.9741743945586956E-16</v>
      </c>
      <c r="H71">
        <f t="shared" si="11"/>
        <v>-0.37085070767609535</v>
      </c>
      <c r="I71">
        <f t="shared" si="12"/>
        <v>-0.7417014153521907</v>
      </c>
      <c r="T71">
        <f t="shared" si="13"/>
        <v>0.41065369441233002</v>
      </c>
      <c r="U71">
        <v>9.3462384044608812E-3</v>
      </c>
      <c r="V71">
        <v>-3.9072124918936441E-2</v>
      </c>
      <c r="W71">
        <v>6.9</v>
      </c>
      <c r="AN71">
        <f t="shared" si="15"/>
        <v>3.3999999999999959</v>
      </c>
      <c r="AO71">
        <v>-3.6892620685917499</v>
      </c>
      <c r="AP71">
        <v>1.0597619394251101</v>
      </c>
    </row>
    <row r="72" spans="1:42" x14ac:dyDescent="0.3">
      <c r="A72">
        <v>7</v>
      </c>
      <c r="B72">
        <v>7</v>
      </c>
      <c r="C72">
        <v>5.0999999999999996</v>
      </c>
      <c r="D72">
        <f t="shared" si="14"/>
        <v>0.65698659871878906</v>
      </c>
      <c r="E72">
        <f t="shared" si="8"/>
        <v>-6.8529717295235076E-2</v>
      </c>
      <c r="F72">
        <f t="shared" si="9"/>
        <v>-1.0501911270743835E-15</v>
      </c>
      <c r="G72">
        <f t="shared" si="10"/>
        <v>0.22928687588682031</v>
      </c>
      <c r="H72">
        <f t="shared" si="11"/>
        <v>0.22928687588681926</v>
      </c>
      <c r="I72">
        <f t="shared" si="12"/>
        <v>0.45857375177363852</v>
      </c>
      <c r="T72">
        <f t="shared" si="13"/>
        <v>0.58845688142355401</v>
      </c>
      <c r="U72">
        <v>6.4875482329034114E-17</v>
      </c>
      <c r="V72">
        <v>-3.5060019066443203E-2</v>
      </c>
      <c r="W72">
        <v>7</v>
      </c>
      <c r="AN72">
        <f t="shared" si="15"/>
        <v>3.4499999999999957</v>
      </c>
      <c r="AO72">
        <v>-3.7796327656176998</v>
      </c>
      <c r="AP72">
        <v>0.54885494278058999</v>
      </c>
    </row>
    <row r="73" spans="1:42" x14ac:dyDescent="0.3">
      <c r="A73">
        <v>7.1</v>
      </c>
      <c r="B73">
        <v>7.1</v>
      </c>
      <c r="C73">
        <v>5.2</v>
      </c>
      <c r="D73">
        <f t="shared" si="14"/>
        <v>0.72896904012587593</v>
      </c>
      <c r="E73">
        <f t="shared" si="8"/>
        <v>3.1411361667701171E-2</v>
      </c>
      <c r="F73">
        <f t="shared" si="9"/>
        <v>0.34925404374396429</v>
      </c>
      <c r="G73">
        <f t="shared" si="10"/>
        <v>0.3564470771807941</v>
      </c>
      <c r="H73">
        <f t="shared" si="11"/>
        <v>0.70570112092475834</v>
      </c>
      <c r="I73">
        <f t="shared" si="12"/>
        <v>1.4114022418495167</v>
      </c>
      <c r="T73">
        <f t="shared" si="13"/>
        <v>0.76038040179357713</v>
      </c>
      <c r="U73">
        <v>-1.01246591949596E-2</v>
      </c>
      <c r="V73">
        <v>-2.452048387001881E-2</v>
      </c>
      <c r="W73">
        <v>7.1</v>
      </c>
      <c r="AN73">
        <f t="shared" si="15"/>
        <v>3.4999999999999956</v>
      </c>
      <c r="AO73">
        <v>-3.8545571456807002</v>
      </c>
      <c r="AP73">
        <v>0</v>
      </c>
    </row>
    <row r="74" spans="1:42" x14ac:dyDescent="0.3">
      <c r="A74">
        <v>7.2</v>
      </c>
      <c r="B74">
        <v>7.2</v>
      </c>
      <c r="C74">
        <v>5.3</v>
      </c>
      <c r="D74">
        <f t="shared" si="14"/>
        <v>0.79366786384915311</v>
      </c>
      <c r="E74">
        <f t="shared" si="8"/>
        <v>0.13103858868807031</v>
      </c>
      <c r="F74">
        <f t="shared" si="9"/>
        <v>0.54840353927888297</v>
      </c>
      <c r="G74">
        <f t="shared" si="10"/>
        <v>0.34247058737202074</v>
      </c>
      <c r="H74">
        <f t="shared" si="11"/>
        <v>0.89087412665090371</v>
      </c>
      <c r="I74">
        <f t="shared" si="12"/>
        <v>1.7817482533018074</v>
      </c>
      <c r="T74">
        <f t="shared" si="13"/>
        <v>0.92470645253722339</v>
      </c>
      <c r="U74">
        <v>-1.7050606547473292E-2</v>
      </c>
      <c r="V74">
        <v>-8.9375419948408367E-3</v>
      </c>
      <c r="W74">
        <v>7.2</v>
      </c>
      <c r="AN74">
        <f t="shared" si="15"/>
        <v>3.5499999999999954</v>
      </c>
      <c r="AO74">
        <v>-3.9138321303532502</v>
      </c>
      <c r="AP74">
        <v>-0.53263382778745005</v>
      </c>
    </row>
    <row r="75" spans="1:42" x14ac:dyDescent="0.3">
      <c r="A75">
        <v>7.3</v>
      </c>
      <c r="B75">
        <v>7.3</v>
      </c>
      <c r="C75">
        <v>5.4</v>
      </c>
      <c r="D75">
        <f t="shared" si="14"/>
        <v>0.8504366206285644</v>
      </c>
      <c r="E75">
        <f t="shared" si="8"/>
        <v>0.22935652144586585</v>
      </c>
      <c r="F75">
        <f t="shared" si="9"/>
        <v>0.53219576527538714</v>
      </c>
      <c r="G75">
        <f t="shared" si="10"/>
        <v>0.20335921609505311</v>
      </c>
      <c r="H75">
        <f t="shared" si="11"/>
        <v>0.73555498137044029</v>
      </c>
      <c r="I75">
        <f t="shared" si="12"/>
        <v>1.4711099627408806</v>
      </c>
      <c r="T75">
        <f t="shared" si="13"/>
        <v>1.0797931420744302</v>
      </c>
      <c r="U75">
        <v>-1.7746455001125441E-2</v>
      </c>
      <c r="V75">
        <v>9.2097306709841911E-3</v>
      </c>
      <c r="W75">
        <v>7.3</v>
      </c>
      <c r="AN75">
        <f t="shared" si="15"/>
        <v>3.5999999999999952</v>
      </c>
      <c r="AO75">
        <v>-3.9573175724617502</v>
      </c>
      <c r="AP75">
        <v>-0.99804620859302995</v>
      </c>
    </row>
    <row r="76" spans="1:42" x14ac:dyDescent="0.3">
      <c r="A76">
        <v>7.4</v>
      </c>
      <c r="B76">
        <v>7.4</v>
      </c>
      <c r="C76">
        <v>5.5</v>
      </c>
      <c r="D76">
        <f t="shared" si="14"/>
        <v>0.89870809581162692</v>
      </c>
      <c r="E76">
        <f t="shared" si="8"/>
        <v>0.32538279965656131</v>
      </c>
      <c r="F76">
        <f t="shared" si="9"/>
        <v>0.31919416215969371</v>
      </c>
      <c r="G76">
        <f t="shared" si="10"/>
        <v>1.6289317393842928E-15</v>
      </c>
      <c r="H76">
        <f t="shared" si="11"/>
        <v>0.31919416215969532</v>
      </c>
      <c r="I76">
        <f t="shared" si="12"/>
        <v>0.63838832431939063</v>
      </c>
      <c r="T76">
        <f t="shared" si="13"/>
        <v>1.2240908954681882</v>
      </c>
      <c r="U76">
        <v>-1.1415521365630977E-2</v>
      </c>
      <c r="V76">
        <v>2.682968287458342E-2</v>
      </c>
      <c r="W76">
        <v>7.4</v>
      </c>
      <c r="AN76">
        <f t="shared" si="15"/>
        <v>3.649999999999995</v>
      </c>
      <c r="AO76">
        <v>-3.9849364323270899</v>
      </c>
      <c r="AP76">
        <v>-1.3532411365646999</v>
      </c>
    </row>
    <row r="77" spans="1:42" x14ac:dyDescent="0.3">
      <c r="A77">
        <v>7.5</v>
      </c>
      <c r="B77">
        <v>7.5</v>
      </c>
      <c r="C77">
        <v>5.6</v>
      </c>
      <c r="D77">
        <f t="shared" si="14"/>
        <v>0.9379999767747389</v>
      </c>
      <c r="E77">
        <f t="shared" si="8"/>
        <v>0.41815796049034099</v>
      </c>
      <c r="F77">
        <f t="shared" si="9"/>
        <v>2.8407390625835162E-15</v>
      </c>
      <c r="G77">
        <f t="shared" si="10"/>
        <v>-0.18772421656571511</v>
      </c>
      <c r="H77">
        <f t="shared" si="11"/>
        <v>-0.18772421656571228</v>
      </c>
      <c r="I77">
        <f t="shared" si="12"/>
        <v>-0.37544843313142456</v>
      </c>
      <c r="T77">
        <f t="shared" si="13"/>
        <v>1.3561579372650798</v>
      </c>
      <c r="U77">
        <v>-9.9015992481581782E-18</v>
      </c>
      <c r="V77">
        <v>4.073393070210013E-2</v>
      </c>
      <c r="W77">
        <v>7.5</v>
      </c>
      <c r="AN77">
        <f t="shared" si="15"/>
        <v>3.6999999999999948</v>
      </c>
      <c r="AO77">
        <v>-3.99667470407429</v>
      </c>
      <c r="AP77">
        <v>-1.5671459871700999</v>
      </c>
    </row>
    <row r="78" spans="1:42" x14ac:dyDescent="0.3">
      <c r="A78">
        <v>7.6</v>
      </c>
      <c r="B78">
        <v>7.6</v>
      </c>
      <c r="C78">
        <v>5.7</v>
      </c>
      <c r="D78">
        <f t="shared" si="14"/>
        <v>0.96791967203148632</v>
      </c>
      <c r="E78">
        <f t="shared" si="8"/>
        <v>0.50675502520754556</v>
      </c>
      <c r="F78">
        <f t="shared" si="9"/>
        <v>-0.30060574124913758</v>
      </c>
      <c r="G78">
        <f t="shared" si="10"/>
        <v>-0.29183418393267735</v>
      </c>
      <c r="H78">
        <f t="shared" si="11"/>
        <v>-0.59243992518181487</v>
      </c>
      <c r="I78">
        <f t="shared" si="12"/>
        <v>-1.1848798503636297</v>
      </c>
      <c r="T78">
        <f t="shared" si="13"/>
        <v>1.4746746972390319</v>
      </c>
      <c r="U78">
        <v>1.236628666615543E-2</v>
      </c>
      <c r="V78">
        <v>4.8202423268381055E-2</v>
      </c>
      <c r="W78">
        <v>7.6</v>
      </c>
      <c r="AN78">
        <f t="shared" si="15"/>
        <v>3.7499999999999947</v>
      </c>
      <c r="AO78">
        <v>-3.9925810937968902</v>
      </c>
      <c r="AP78">
        <v>-1.62326233679175</v>
      </c>
    </row>
    <row r="79" spans="1:42" x14ac:dyDescent="0.3">
      <c r="A79">
        <v>7.7</v>
      </c>
      <c r="B79">
        <v>7.7</v>
      </c>
      <c r="C79">
        <v>5.8</v>
      </c>
      <c r="D79">
        <f t="shared" si="14"/>
        <v>0.98816823387700037</v>
      </c>
      <c r="E79">
        <f t="shared" si="8"/>
        <v>0.59028876122381735</v>
      </c>
      <c r="F79">
        <f t="shared" si="9"/>
        <v>-0.47201530055706764</v>
      </c>
      <c r="G79">
        <f t="shared" si="10"/>
        <v>-0.28039120190615302</v>
      </c>
      <c r="H79">
        <f t="shared" si="11"/>
        <v>-0.75240650246322072</v>
      </c>
      <c r="I79">
        <f t="shared" si="12"/>
        <v>-1.5048130049264414</v>
      </c>
      <c r="T79">
        <f t="shared" si="13"/>
        <v>1.5784569951008178</v>
      </c>
      <c r="U79">
        <v>2.0825657865387658E-2</v>
      </c>
      <c r="V79">
        <v>4.7499570534485322E-2</v>
      </c>
      <c r="W79">
        <v>7.7</v>
      </c>
      <c r="AN79">
        <f t="shared" si="15"/>
        <v>3.7999999999999945</v>
      </c>
      <c r="AO79">
        <v>-3.9727664523297901</v>
      </c>
      <c r="AP79">
        <v>-1.52082982366769</v>
      </c>
    </row>
    <row r="80" spans="1:42" x14ac:dyDescent="0.3">
      <c r="A80">
        <v>7.8</v>
      </c>
      <c r="B80">
        <v>7.8</v>
      </c>
      <c r="C80">
        <v>5.9</v>
      </c>
      <c r="D80">
        <f t="shared" si="14"/>
        <v>0.99854334537460498</v>
      </c>
      <c r="E80">
        <f t="shared" si="8"/>
        <v>0.66792452706146221</v>
      </c>
      <c r="F80">
        <f t="shared" si="9"/>
        <v>-0.4580651401921631</v>
      </c>
      <c r="G80">
        <f t="shared" si="10"/>
        <v>-0.16649644413885006</v>
      </c>
      <c r="H80">
        <f t="shared" si="11"/>
        <v>-0.62456158433101316</v>
      </c>
      <c r="I80">
        <f t="shared" si="12"/>
        <v>-1.2491231686620263</v>
      </c>
      <c r="T80">
        <f t="shared" si="13"/>
        <v>1.6664678724360673</v>
      </c>
      <c r="U80">
        <v>2.1675569085939931E-2</v>
      </c>
      <c r="V80">
        <v>3.8245967358251039E-2</v>
      </c>
      <c r="W80">
        <v>7.8</v>
      </c>
      <c r="AN80">
        <f t="shared" si="15"/>
        <v>3.8499999999999943</v>
      </c>
      <c r="AO80">
        <v>-3.9374029663353398</v>
      </c>
      <c r="AP80">
        <v>-1.2744345078038699</v>
      </c>
    </row>
    <row r="81" spans="1:42" x14ac:dyDescent="0.3">
      <c r="A81">
        <v>7.9</v>
      </c>
      <c r="B81">
        <v>7.9</v>
      </c>
      <c r="C81">
        <v>6</v>
      </c>
      <c r="D81">
        <f t="shared" si="14"/>
        <v>0.99894134183977201</v>
      </c>
      <c r="E81">
        <f t="shared" si="8"/>
        <v>0.73888661181120396</v>
      </c>
      <c r="F81">
        <f t="shared" si="9"/>
        <v>-0.27473296139916048</v>
      </c>
      <c r="G81">
        <f t="shared" si="10"/>
        <v>-4.0011465709798579E-16</v>
      </c>
      <c r="H81">
        <f t="shared" si="11"/>
        <v>-0.27473296139916087</v>
      </c>
      <c r="I81">
        <f t="shared" si="12"/>
        <v>-0.54946592279832174</v>
      </c>
      <c r="T81">
        <f t="shared" si="13"/>
        <v>1.737827953650976</v>
      </c>
      <c r="U81">
        <v>1.394294928181823E-2</v>
      </c>
      <c r="V81">
        <v>2.1570207667305E-2</v>
      </c>
      <c r="W81">
        <v>7.9</v>
      </c>
      <c r="AN81">
        <f t="shared" si="15"/>
        <v>3.8999999999999941</v>
      </c>
      <c r="AO81">
        <v>-3.8867231123386801</v>
      </c>
      <c r="AP81">
        <v>-0.91214555437487999</v>
      </c>
    </row>
    <row r="82" spans="1:42" x14ac:dyDescent="0.3">
      <c r="A82">
        <v>8</v>
      </c>
      <c r="B82">
        <v>8</v>
      </c>
      <c r="C82">
        <v>6.1</v>
      </c>
      <c r="D82">
        <f t="shared" si="14"/>
        <v>0.98935824662338179</v>
      </c>
      <c r="E82">
        <f t="shared" si="8"/>
        <v>0.8024659857791685</v>
      </c>
      <c r="F82">
        <f t="shared" si="9"/>
        <v>-8.8914368243996888E-16</v>
      </c>
      <c r="G82">
        <f t="shared" si="10"/>
        <v>0.15369558919982129</v>
      </c>
      <c r="H82">
        <f t="shared" si="11"/>
        <v>0.1536955891998204</v>
      </c>
      <c r="I82">
        <f t="shared" si="12"/>
        <v>0.30739117839964081</v>
      </c>
      <c r="T82">
        <f t="shared" si="13"/>
        <v>1.7918242324025502</v>
      </c>
      <c r="U82">
        <v>-7.2595165546048724E-17</v>
      </c>
      <c r="V82">
        <v>-1.071219722836879E-16</v>
      </c>
      <c r="W82">
        <v>8</v>
      </c>
      <c r="AN82">
        <f t="shared" si="15"/>
        <v>3.949999999999994</v>
      </c>
      <c r="AO82">
        <v>-3.8210183792552299</v>
      </c>
      <c r="AP82">
        <v>-0.47240382715156998</v>
      </c>
    </row>
    <row r="83" spans="1:42" x14ac:dyDescent="0.3">
      <c r="A83">
        <v>8.1</v>
      </c>
      <c r="B83">
        <v>8.1</v>
      </c>
      <c r="C83">
        <v>6.2</v>
      </c>
      <c r="D83">
        <f t="shared" si="14"/>
        <v>0.9698898108450863</v>
      </c>
      <c r="E83">
        <f t="shared" si="8"/>
        <v>0.85802738487721542</v>
      </c>
      <c r="F83">
        <f t="shared" si="9"/>
        <v>0.25873375925229852</v>
      </c>
      <c r="G83">
        <f t="shared" si="10"/>
        <v>0.23893362118509887</v>
      </c>
      <c r="H83">
        <f t="shared" si="11"/>
        <v>0.49766738043739739</v>
      </c>
      <c r="I83">
        <f t="shared" si="12"/>
        <v>0.99533476087479478</v>
      </c>
      <c r="T83">
        <f t="shared" si="13"/>
        <v>1.8279171957223017</v>
      </c>
      <c r="U83">
        <v>-1.5104216642241651E-2</v>
      </c>
      <c r="V83">
        <v>-2.2904034817717581E-2</v>
      </c>
      <c r="W83">
        <v>8.1</v>
      </c>
      <c r="AN83">
        <f t="shared" si="15"/>
        <v>3.9999999999999938</v>
      </c>
      <c r="AO83">
        <v>-3.7406377658333199</v>
      </c>
      <c r="AP83">
        <v>0</v>
      </c>
    </row>
    <row r="84" spans="1:42" x14ac:dyDescent="0.3">
      <c r="A84">
        <v>8.1999999999999993</v>
      </c>
      <c r="B84">
        <v>8.1999999999999993</v>
      </c>
      <c r="C84">
        <v>6.3</v>
      </c>
      <c r="D84">
        <f t="shared" si="14"/>
        <v>0.94073055667977312</v>
      </c>
      <c r="E84">
        <f t="shared" si="8"/>
        <v>0.90501565797171368</v>
      </c>
      <c r="F84">
        <f t="shared" si="9"/>
        <v>0.40626733418413796</v>
      </c>
      <c r="G84">
        <f t="shared" si="10"/>
        <v>0.22956489989306542</v>
      </c>
      <c r="H84">
        <f t="shared" si="11"/>
        <v>0.63583223407720335</v>
      </c>
      <c r="I84">
        <f t="shared" si="12"/>
        <v>1.2716644681544067</v>
      </c>
      <c r="T84">
        <f t="shared" si="13"/>
        <v>1.8457462146514869</v>
      </c>
      <c r="U84">
        <v>-2.5436515957284557E-2</v>
      </c>
      <c r="V84">
        <v>-4.3122207782035751E-2</v>
      </c>
      <c r="W84">
        <v>8.1999999999999993</v>
      </c>
      <c r="AN84">
        <f t="shared" si="15"/>
        <v>4.0499999999999936</v>
      </c>
      <c r="AO84">
        <v>-3.6459860602838798</v>
      </c>
      <c r="AP84">
        <v>0.45844218409046</v>
      </c>
    </row>
    <row r="85" spans="1:42" x14ac:dyDescent="0.3">
      <c r="A85">
        <v>8.3000000000000007</v>
      </c>
      <c r="B85">
        <v>8.3000000000000007</v>
      </c>
      <c r="C85">
        <v>6.4</v>
      </c>
      <c r="D85">
        <f t="shared" si="14"/>
        <v>0.90217183375629328</v>
      </c>
      <c r="E85">
        <f t="shared" si="8"/>
        <v>0.94296131377016168</v>
      </c>
      <c r="F85">
        <f t="shared" si="9"/>
        <v>0.39426031988565652</v>
      </c>
      <c r="G85">
        <f t="shared" si="10"/>
        <v>0.1363157590946075</v>
      </c>
      <c r="H85">
        <f t="shared" si="11"/>
        <v>0.53057607898026404</v>
      </c>
      <c r="I85">
        <f t="shared" si="12"/>
        <v>1.0611521579605281</v>
      </c>
      <c r="T85">
        <f t="shared" si="13"/>
        <v>1.845133147526455</v>
      </c>
      <c r="U85">
        <v>-2.6474599866258323E-2</v>
      </c>
      <c r="V85">
        <v>-5.6867310584715024E-2</v>
      </c>
      <c r="W85">
        <v>8.3000000000000007</v>
      </c>
      <c r="AN85">
        <f t="shared" si="15"/>
        <v>4.0999999999999934</v>
      </c>
      <c r="AO85">
        <v>-3.5375219101849602</v>
      </c>
      <c r="AP85">
        <v>0.85902633257681005</v>
      </c>
    </row>
    <row r="86" spans="1:42" x14ac:dyDescent="0.3">
      <c r="A86">
        <v>8.4</v>
      </c>
      <c r="B86">
        <v>8.4</v>
      </c>
      <c r="C86">
        <v>6.5</v>
      </c>
      <c r="D86">
        <f t="shared" si="14"/>
        <v>0.85459890808828043</v>
      </c>
      <c r="E86">
        <f t="shared" si="8"/>
        <v>0.97148521182298619</v>
      </c>
      <c r="F86">
        <f t="shared" si="9"/>
        <v>0.23646485126313618</v>
      </c>
      <c r="G86">
        <f t="shared" si="10"/>
        <v>-4.3673324948624833E-16</v>
      </c>
      <c r="H86">
        <f t="shared" si="11"/>
        <v>0.23646485126313574</v>
      </c>
      <c r="I86">
        <f t="shared" si="12"/>
        <v>0.47292970252627148</v>
      </c>
      <c r="T86">
        <f t="shared" si="13"/>
        <v>1.8260841199112665</v>
      </c>
      <c r="U86">
        <v>-1.7029956709700065E-2</v>
      </c>
      <c r="V86">
        <v>-6.1277289623362083E-2</v>
      </c>
      <c r="W86">
        <v>8.4</v>
      </c>
      <c r="AN86">
        <f t="shared" si="15"/>
        <v>4.1499999999999932</v>
      </c>
      <c r="AO86">
        <v>-3.4157556915271501</v>
      </c>
      <c r="AP86">
        <v>1.16474544026774</v>
      </c>
    </row>
    <row r="87" spans="1:42" x14ac:dyDescent="0.3">
      <c r="A87">
        <v>8.5</v>
      </c>
      <c r="B87">
        <v>8.5</v>
      </c>
      <c r="C87">
        <v>6.6</v>
      </c>
      <c r="D87">
        <f t="shared" si="14"/>
        <v>0.79848711262349026</v>
      </c>
      <c r="E87">
        <f t="shared" si="8"/>
        <v>0.99030235076959117</v>
      </c>
      <c r="F87">
        <f t="shared" si="9"/>
        <v>-5.7388513843611267E-16</v>
      </c>
      <c r="G87">
        <f t="shared" si="10"/>
        <v>-0.12583530549033439</v>
      </c>
      <c r="H87">
        <f t="shared" si="11"/>
        <v>-0.12583530549033498</v>
      </c>
      <c r="I87">
        <f t="shared" si="12"/>
        <v>-0.25167061098066995</v>
      </c>
      <c r="T87">
        <f t="shared" si="13"/>
        <v>1.7887894633930814</v>
      </c>
      <c r="U87">
        <v>1.9210732115862471E-16</v>
      </c>
      <c r="V87">
        <v>-5.4985055125420318E-2</v>
      </c>
      <c r="W87">
        <v>8.5</v>
      </c>
      <c r="AN87">
        <f t="shared" si="15"/>
        <v>4.1999999999999931</v>
      </c>
      <c r="AO87">
        <v>-3.2812471865055501</v>
      </c>
      <c r="AP87">
        <v>1.3488550513798201</v>
      </c>
    </row>
    <row r="88" spans="1:42" x14ac:dyDescent="0.3">
      <c r="A88">
        <v>8.6</v>
      </c>
      <c r="B88">
        <v>8.6</v>
      </c>
      <c r="C88">
        <v>6.7</v>
      </c>
      <c r="D88">
        <f t="shared" si="14"/>
        <v>0.73439709787411334</v>
      </c>
      <c r="E88">
        <f t="shared" si="8"/>
        <v>0.99922471597774143</v>
      </c>
      <c r="F88">
        <f t="shared" si="9"/>
        <v>-0.22269421035889497</v>
      </c>
      <c r="G88">
        <f t="shared" si="10"/>
        <v>-0.19562230360852553</v>
      </c>
      <c r="H88">
        <f t="shared" si="11"/>
        <v>-0.41831651396742053</v>
      </c>
      <c r="I88">
        <f t="shared" si="12"/>
        <v>-0.83663302793484107</v>
      </c>
      <c r="T88">
        <f t="shared" si="13"/>
        <v>1.7336218138518547</v>
      </c>
      <c r="U88">
        <v>1.8448331866682426E-2</v>
      </c>
      <c r="V88">
        <v>-3.8455773647466031E-2</v>
      </c>
      <c r="W88">
        <v>8.6</v>
      </c>
      <c r="AN88">
        <f t="shared" si="15"/>
        <v>4.2499999999999929</v>
      </c>
      <c r="AO88">
        <v>-3.1346030803601699</v>
      </c>
      <c r="AP88">
        <v>1.39715484110704</v>
      </c>
    </row>
    <row r="89" spans="1:42" x14ac:dyDescent="0.3">
      <c r="A89">
        <v>8.6999999999999993</v>
      </c>
      <c r="B89">
        <v>8.6999999999999993</v>
      </c>
      <c r="C89">
        <v>6.8</v>
      </c>
      <c r="D89">
        <f t="shared" si="14"/>
        <v>0.66296923008218334</v>
      </c>
      <c r="E89">
        <f t="shared" si="8"/>
        <v>0.99816315812361889</v>
      </c>
      <c r="F89">
        <f t="shared" si="9"/>
        <v>-0.34967753509323241</v>
      </c>
      <c r="G89">
        <f t="shared" si="10"/>
        <v>-0.18795184336972071</v>
      </c>
      <c r="H89">
        <f t="shared" si="11"/>
        <v>-0.53762937846295311</v>
      </c>
      <c r="I89">
        <f t="shared" si="12"/>
        <v>-1.0752587569259062</v>
      </c>
      <c r="T89">
        <f t="shared" si="13"/>
        <v>1.6611323882058022</v>
      </c>
      <c r="U89">
        <v>3.1068230748212571E-2</v>
      </c>
      <c r="V89">
        <v>-1.4016856018839476E-2</v>
      </c>
      <c r="W89">
        <v>8.6999999999999993</v>
      </c>
      <c r="AN89">
        <f t="shared" si="15"/>
        <v>4.2999999999999927</v>
      </c>
      <c r="AO89">
        <v>-2.97647428821911</v>
      </c>
      <c r="AP89">
        <v>1.3089903600158901</v>
      </c>
    </row>
    <row r="90" spans="1:42" x14ac:dyDescent="0.3">
      <c r="A90">
        <v>8.8000000000000007</v>
      </c>
      <c r="B90">
        <v>8.8000000000000007</v>
      </c>
      <c r="C90">
        <v>6.9</v>
      </c>
      <c r="D90">
        <f t="shared" si="14"/>
        <v>0.58491719289176169</v>
      </c>
      <c r="E90">
        <f t="shared" si="8"/>
        <v>0.98712828394239738</v>
      </c>
      <c r="F90">
        <f t="shared" si="9"/>
        <v>-0.33934300211347906</v>
      </c>
      <c r="G90">
        <f t="shared" si="10"/>
        <v>-0.11160590409992424</v>
      </c>
      <c r="H90">
        <f t="shared" si="11"/>
        <v>-0.45094890621340333</v>
      </c>
      <c r="I90">
        <f t="shared" si="12"/>
        <v>-0.90189781242680667</v>
      </c>
      <c r="T90">
        <f t="shared" si="13"/>
        <v>1.572045476834159</v>
      </c>
      <c r="U90">
        <v>3.2336149297834897E-2</v>
      </c>
      <c r="V90">
        <v>1.4443732836386551E-2</v>
      </c>
      <c r="W90">
        <v>8.8000000000000007</v>
      </c>
      <c r="AN90">
        <f t="shared" si="15"/>
        <v>4.3499999999999925</v>
      </c>
      <c r="AO90">
        <v>-2.80755312350353</v>
      </c>
      <c r="AP90">
        <v>1.0969159462981299</v>
      </c>
    </row>
    <row r="91" spans="1:42" x14ac:dyDescent="0.3">
      <c r="A91">
        <v>8.9</v>
      </c>
      <c r="B91">
        <v>8.9</v>
      </c>
      <c r="C91">
        <v>7</v>
      </c>
      <c r="D91">
        <f t="shared" si="14"/>
        <v>0.50102085645788463</v>
      </c>
      <c r="E91">
        <f t="shared" si="8"/>
        <v>0.96623035024925097</v>
      </c>
      <c r="F91">
        <f t="shared" si="9"/>
        <v>-0.20352718362634525</v>
      </c>
      <c r="G91">
        <f t="shared" si="10"/>
        <v>-3.129056879263652E-16</v>
      </c>
      <c r="H91">
        <f t="shared" si="11"/>
        <v>-0.20352718362634556</v>
      </c>
      <c r="I91">
        <f t="shared" si="12"/>
        <v>-0.40705436725269112</v>
      </c>
      <c r="T91">
        <f t="shared" si="13"/>
        <v>1.4672512067071355</v>
      </c>
      <c r="U91">
        <v>2.0800436096575843E-2</v>
      </c>
      <c r="V91">
        <v>4.207731858504566E-2</v>
      </c>
      <c r="W91">
        <v>8.9</v>
      </c>
      <c r="AN91">
        <f t="shared" si="15"/>
        <v>4.3999999999999924</v>
      </c>
      <c r="AO91">
        <v>-2.6285703200090502</v>
      </c>
      <c r="AP91">
        <v>0.78509095431110998</v>
      </c>
    </row>
    <row r="92" spans="1:42" x14ac:dyDescent="0.3">
      <c r="A92">
        <v>9</v>
      </c>
      <c r="B92">
        <v>9</v>
      </c>
      <c r="C92">
        <v>7.1</v>
      </c>
      <c r="D92">
        <f t="shared" si="14"/>
        <v>0.41211848524175659</v>
      </c>
      <c r="E92">
        <f t="shared" si="8"/>
        <v>0.93567816228970446</v>
      </c>
      <c r="F92">
        <f t="shared" si="9"/>
        <v>-7.4103057085001422E-16</v>
      </c>
      <c r="G92">
        <f t="shared" si="10"/>
        <v>0.10302523442789888</v>
      </c>
      <c r="H92">
        <f t="shared" si="11"/>
        <v>0.10302523442789814</v>
      </c>
      <c r="I92">
        <f t="shared" si="12"/>
        <v>0.20605046885579628</v>
      </c>
      <c r="T92">
        <f t="shared" si="13"/>
        <v>1.3477966475314611</v>
      </c>
      <c r="U92">
        <v>-3.6098156296085946E-16</v>
      </c>
      <c r="V92">
        <v>6.3883519883016007E-2</v>
      </c>
      <c r="W92">
        <v>9</v>
      </c>
      <c r="AN92">
        <f t="shared" si="15"/>
        <v>4.4499999999999922</v>
      </c>
      <c r="AO92">
        <v>-2.4402919202829598</v>
      </c>
      <c r="AP92">
        <v>0.40660174212307998</v>
      </c>
    </row>
    <row r="93" spans="1:42" x14ac:dyDescent="0.3">
      <c r="A93">
        <v>9.1</v>
      </c>
      <c r="B93">
        <v>9.1</v>
      </c>
      <c r="C93">
        <v>7.2</v>
      </c>
      <c r="D93">
        <f t="shared" si="14"/>
        <v>0.31909836234935213</v>
      </c>
      <c r="E93">
        <f t="shared" si="8"/>
        <v>0.89577698742663692</v>
      </c>
      <c r="F93">
        <f t="shared" si="9"/>
        <v>0.19167468315957958</v>
      </c>
      <c r="G93">
        <f t="shared" si="10"/>
        <v>0.16016199595225747</v>
      </c>
      <c r="H93">
        <f t="shared" si="11"/>
        <v>0.35183667911183703</v>
      </c>
      <c r="I93">
        <f t="shared" si="12"/>
        <v>0.70367335822367405</v>
      </c>
      <c r="T93">
        <f t="shared" si="13"/>
        <v>1.214875349775989</v>
      </c>
      <c r="U93">
        <v>-2.2532843425420175E-2</v>
      </c>
      <c r="V93">
        <v>7.559644778195683E-2</v>
      </c>
      <c r="W93">
        <v>9.1</v>
      </c>
      <c r="AN93">
        <f t="shared" si="15"/>
        <v>4.499999999999992</v>
      </c>
      <c r="AO93">
        <v>-2.24351604336844</v>
      </c>
      <c r="AP93">
        <v>0</v>
      </c>
    </row>
    <row r="94" spans="1:42" x14ac:dyDescent="0.3">
      <c r="A94">
        <v>9.1999999999999993</v>
      </c>
      <c r="B94">
        <v>9.1999999999999993</v>
      </c>
      <c r="C94">
        <v>7.3</v>
      </c>
      <c r="D94">
        <f t="shared" si="14"/>
        <v>0.22288991410024764</v>
      </c>
      <c r="E94">
        <f t="shared" si="8"/>
        <v>0.84692550500970809</v>
      </c>
      <c r="F94">
        <f t="shared" si="9"/>
        <v>0.30097024363139779</v>
      </c>
      <c r="G94">
        <f t="shared" si="10"/>
        <v>0.15388195426448653</v>
      </c>
      <c r="H94">
        <f t="shared" si="11"/>
        <v>0.45485219789588432</v>
      </c>
      <c r="I94">
        <f t="shared" si="12"/>
        <v>0.90970439579176865</v>
      </c>
      <c r="T94">
        <f t="shared" si="13"/>
        <v>1.0698154191099558</v>
      </c>
      <c r="U94">
        <v>-3.7946822727023481E-2</v>
      </c>
      <c r="V94">
        <v>7.4494155274782911E-2</v>
      </c>
      <c r="W94">
        <v>9.1999999999999993</v>
      </c>
      <c r="AN94">
        <f t="shared" si="15"/>
        <v>4.5499999999999918</v>
      </c>
      <c r="AO94">
        <v>-2.0390695453842098</v>
      </c>
      <c r="AP94">
        <v>-0.39458484457638998</v>
      </c>
    </row>
    <row r="95" spans="1:42" x14ac:dyDescent="0.3">
      <c r="A95">
        <v>9.3000000000000007</v>
      </c>
      <c r="B95">
        <v>9.3000000000000007</v>
      </c>
      <c r="C95">
        <v>7.4</v>
      </c>
      <c r="D95">
        <f t="shared" si="14"/>
        <v>0.12445442350706171</v>
      </c>
      <c r="E95">
        <f t="shared" si="8"/>
        <v>0.7896118229030713</v>
      </c>
      <c r="F95">
        <f t="shared" si="9"/>
        <v>0.29207522866309704</v>
      </c>
      <c r="G95">
        <f t="shared" si="10"/>
        <v>9.1375185911680465E-2</v>
      </c>
      <c r="H95">
        <f t="shared" si="11"/>
        <v>0.38345041457477752</v>
      </c>
      <c r="I95">
        <f t="shared" si="12"/>
        <v>0.76690082914955504</v>
      </c>
      <c r="T95">
        <f t="shared" si="13"/>
        <v>0.91406624641013301</v>
      </c>
      <c r="U95">
        <v>-3.9495461940654508E-2</v>
      </c>
      <c r="V95">
        <v>5.9981616653804366E-2</v>
      </c>
      <c r="W95">
        <v>9.3000000000000007</v>
      </c>
      <c r="AN95">
        <f t="shared" si="15"/>
        <v>4.5999999999999917</v>
      </c>
      <c r="AO95">
        <v>-1.8278045867505901</v>
      </c>
      <c r="AP95">
        <v>-0.73937081640802005</v>
      </c>
    </row>
    <row r="96" spans="1:42" x14ac:dyDescent="0.3">
      <c r="A96">
        <v>9.4</v>
      </c>
      <c r="B96">
        <v>9.4</v>
      </c>
      <c r="C96">
        <v>7.5</v>
      </c>
      <c r="D96">
        <f t="shared" si="14"/>
        <v>2.4775425453357765E-2</v>
      </c>
      <c r="E96">
        <f t="shared" si="8"/>
        <v>0.72440860047295319</v>
      </c>
      <c r="F96">
        <f t="shared" si="9"/>
        <v>0.17517747036652367</v>
      </c>
      <c r="G96">
        <f t="shared" si="10"/>
        <v>8.0512207093759035E-16</v>
      </c>
      <c r="H96">
        <f t="shared" si="11"/>
        <v>0.17517747036652448</v>
      </c>
      <c r="I96">
        <f t="shared" si="12"/>
        <v>0.35035494073304896</v>
      </c>
      <c r="T96">
        <f t="shared" si="13"/>
        <v>0.74918402592631095</v>
      </c>
      <c r="U96">
        <v>-2.5405710019291972E-2</v>
      </c>
      <c r="V96">
        <v>3.3828819528187393E-2</v>
      </c>
      <c r="W96">
        <v>9.4</v>
      </c>
      <c r="AN96">
        <f t="shared" si="15"/>
        <v>4.6499999999999915</v>
      </c>
      <c r="AO96">
        <v>-1.6105951201580599</v>
      </c>
      <c r="AP96">
        <v>-1.00250569094316</v>
      </c>
    </row>
    <row r="97" spans="1:42" x14ac:dyDescent="0.3">
      <c r="A97">
        <v>9.5</v>
      </c>
      <c r="B97">
        <v>9.5</v>
      </c>
      <c r="C97">
        <v>7.6</v>
      </c>
      <c r="D97">
        <f t="shared" si="14"/>
        <v>-7.5151120461809301E-2</v>
      </c>
      <c r="E97">
        <f t="shared" si="8"/>
        <v>0.6519673267645586</v>
      </c>
      <c r="F97">
        <f t="shared" si="9"/>
        <v>1.7007664133427642E-15</v>
      </c>
      <c r="G97">
        <f t="shared" si="10"/>
        <v>-8.4349927769189662E-2</v>
      </c>
      <c r="H97">
        <f t="shared" si="11"/>
        <v>-8.4349927769187955E-2</v>
      </c>
      <c r="I97">
        <f t="shared" si="12"/>
        <v>-0.16869985553837591</v>
      </c>
      <c r="T97">
        <f t="shared" si="13"/>
        <v>0.57681620630274932</v>
      </c>
      <c r="U97">
        <v>-4.4082583710792396E-17</v>
      </c>
      <c r="V97">
        <v>-1.4700060765796684E-16</v>
      </c>
      <c r="W97">
        <v>9.5</v>
      </c>
      <c r="AN97">
        <f t="shared" si="15"/>
        <v>4.6999999999999913</v>
      </c>
      <c r="AO97">
        <v>-1.38833331360284</v>
      </c>
      <c r="AP97">
        <v>-1.16097030176385</v>
      </c>
    </row>
    <row r="98" spans="1:42" x14ac:dyDescent="0.3">
      <c r="A98">
        <v>9.6</v>
      </c>
      <c r="B98">
        <v>9.6</v>
      </c>
      <c r="C98">
        <v>7.7</v>
      </c>
      <c r="D98">
        <f t="shared" si="14"/>
        <v>-0.17432678122297965</v>
      </c>
      <c r="E98">
        <f t="shared" si="8"/>
        <v>0.573011811038875</v>
      </c>
      <c r="F98">
        <f t="shared" si="9"/>
        <v>-0.16497592867419664</v>
      </c>
      <c r="G98">
        <f t="shared" si="10"/>
        <v>-0.13112955156046463</v>
      </c>
      <c r="H98">
        <f t="shared" si="11"/>
        <v>-0.29610548023466127</v>
      </c>
      <c r="I98">
        <f t="shared" si="12"/>
        <v>-0.59221096046932253</v>
      </c>
      <c r="T98">
        <f t="shared" si="13"/>
        <v>0.39868502981589538</v>
      </c>
      <c r="U98">
        <v>2.7521677108999578E-2</v>
      </c>
      <c r="V98">
        <v>-3.5920676901517554E-2</v>
      </c>
      <c r="W98">
        <v>9.6</v>
      </c>
      <c r="AN98">
        <f t="shared" si="15"/>
        <v>4.7499999999999911</v>
      </c>
      <c r="AO98">
        <v>-1.1619259229844701</v>
      </c>
      <c r="AP98">
        <v>-1.2025423160417099</v>
      </c>
    </row>
    <row r="99" spans="1:42" x14ac:dyDescent="0.3">
      <c r="A99">
        <v>9.6999999999999993</v>
      </c>
      <c r="B99">
        <v>9.6999999999999993</v>
      </c>
      <c r="C99">
        <v>7.8</v>
      </c>
      <c r="D99">
        <f t="shared" si="14"/>
        <v>-0.27176062641094245</v>
      </c>
      <c r="E99">
        <f t="shared" si="8"/>
        <v>0.48833095070981575</v>
      </c>
      <c r="F99">
        <f t="shared" si="9"/>
        <v>-0.25904748936013738</v>
      </c>
      <c r="G99">
        <f t="shared" si="10"/>
        <v>-0.12598788830007449</v>
      </c>
      <c r="H99">
        <f t="shared" si="11"/>
        <v>-0.3850353776602119</v>
      </c>
      <c r="I99">
        <f t="shared" si="12"/>
        <v>-0.77007075532042379</v>
      </c>
      <c r="T99">
        <f t="shared" si="13"/>
        <v>0.2165703242988733</v>
      </c>
      <c r="U99">
        <v>4.6348353942201347E-2</v>
      </c>
      <c r="V99">
        <v>-6.7629083929805184E-2</v>
      </c>
      <c r="W99">
        <v>9.6999999999999993</v>
      </c>
      <c r="AN99">
        <f t="shared" si="15"/>
        <v>4.7999999999999909</v>
      </c>
      <c r="AO99">
        <v>-0.93229062887235004</v>
      </c>
      <c r="AP99">
        <v>-1.12665844392919</v>
      </c>
    </row>
    <row r="100" spans="1:42" x14ac:dyDescent="0.3">
      <c r="A100">
        <v>9.8000000000000007</v>
      </c>
      <c r="B100">
        <v>9.8000000000000007</v>
      </c>
      <c r="C100">
        <v>7.9</v>
      </c>
      <c r="D100">
        <f t="shared" si="14"/>
        <v>-0.36647912925192838</v>
      </c>
      <c r="E100">
        <f t="shared" si="8"/>
        <v>0.39877084894201187</v>
      </c>
      <c r="F100">
        <f t="shared" si="9"/>
        <v>-0.25139147902650005</v>
      </c>
      <c r="G100">
        <f t="shared" si="10"/>
        <v>-7.4811674774110409E-2</v>
      </c>
      <c r="H100">
        <f t="shared" si="11"/>
        <v>-0.32620315380061049</v>
      </c>
      <c r="I100">
        <f t="shared" si="12"/>
        <v>-0.65240630760122098</v>
      </c>
      <c r="T100">
        <f t="shared" si="13"/>
        <v>3.2291719690083487E-2</v>
      </c>
      <c r="U100">
        <v>4.8239866149125399E-2</v>
      </c>
      <c r="V100">
        <v>-8.9185696146062643E-2</v>
      </c>
      <c r="W100">
        <v>9.8000000000000007</v>
      </c>
      <c r="AN100">
        <f t="shared" si="15"/>
        <v>4.8499999999999908</v>
      </c>
      <c r="AO100">
        <v>-0.70035235210235003</v>
      </c>
      <c r="AP100">
        <v>-0.94412430444663997</v>
      </c>
    </row>
    <row r="101" spans="1:42" x14ac:dyDescent="0.3">
      <c r="A101">
        <v>9.9</v>
      </c>
      <c r="B101">
        <v>9.9</v>
      </c>
      <c r="C101">
        <v>8</v>
      </c>
      <c r="D101">
        <f t="shared" si="14"/>
        <v>-0.45753589377532133</v>
      </c>
      <c r="E101">
        <f t="shared" si="8"/>
        <v>0.30522636066769654</v>
      </c>
      <c r="F101">
        <f t="shared" si="9"/>
        <v>-0.15077664603443033</v>
      </c>
      <c r="G101">
        <f t="shared" si="10"/>
        <v>-2.3971080586927374E-16</v>
      </c>
      <c r="H101">
        <f t="shared" si="11"/>
        <v>-0.15077664603443058</v>
      </c>
      <c r="I101">
        <f t="shared" si="12"/>
        <v>-0.30155329206886117</v>
      </c>
      <c r="T101">
        <f t="shared" si="13"/>
        <v>-0.15230953310762479</v>
      </c>
      <c r="U101">
        <v>3.103060429058084E-2</v>
      </c>
      <c r="V101">
        <v>-9.6101920010129058E-2</v>
      </c>
      <c r="W101">
        <v>9.9</v>
      </c>
      <c r="AN101">
        <f t="shared" si="15"/>
        <v>4.8999999999999906</v>
      </c>
      <c r="AO101">
        <v>-0.46703956286024001</v>
      </c>
      <c r="AP101">
        <v>-0.67573404659474001</v>
      </c>
    </row>
    <row r="102" spans="1:42" x14ac:dyDescent="0.3">
      <c r="A102">
        <v>10</v>
      </c>
      <c r="B102">
        <v>10</v>
      </c>
      <c r="C102">
        <v>8.1</v>
      </c>
      <c r="D102">
        <f t="shared" si="14"/>
        <v>-0.54402111088936977</v>
      </c>
      <c r="E102">
        <f t="shared" si="8"/>
        <v>0.20863215149201361</v>
      </c>
      <c r="F102">
        <f t="shared" si="9"/>
        <v>-6.0996549885318345E-16</v>
      </c>
      <c r="G102">
        <f t="shared" si="10"/>
        <v>6.9059879884541667E-2</v>
      </c>
      <c r="H102">
        <f t="shared" si="11"/>
        <v>6.9059879884541056E-2</v>
      </c>
      <c r="I102">
        <f t="shared" si="12"/>
        <v>0.13811975976908211</v>
      </c>
      <c r="T102">
        <f t="shared" si="13"/>
        <v>-0.33538895939735613</v>
      </c>
      <c r="U102">
        <v>-1.3463626011118148E-16</v>
      </c>
      <c r="V102">
        <v>-8.6233731973045694E-2</v>
      </c>
      <c r="W102">
        <v>10</v>
      </c>
      <c r="AN102">
        <f t="shared" si="15"/>
        <v>4.9499999999999904</v>
      </c>
      <c r="AO102">
        <v>-0.23328059784676</v>
      </c>
      <c r="AP102">
        <v>-0.34996536267366002</v>
      </c>
    </row>
    <row r="103" spans="1:42" x14ac:dyDescent="0.3">
      <c r="A103">
        <v>10.1</v>
      </c>
      <c r="B103">
        <v>10.1</v>
      </c>
      <c r="C103">
        <v>8.1999999999999993</v>
      </c>
      <c r="D103">
        <f t="shared" si="14"/>
        <v>-0.62507064889288211</v>
      </c>
      <c r="E103">
        <f t="shared" si="8"/>
        <v>0.10995335882323927</v>
      </c>
      <c r="F103">
        <f t="shared" si="9"/>
        <v>0.14199609772801178</v>
      </c>
      <c r="G103">
        <f t="shared" si="10"/>
        <v>0.10735979649987694</v>
      </c>
      <c r="H103">
        <f t="shared" si="11"/>
        <v>0.24935589422788873</v>
      </c>
      <c r="I103">
        <f t="shared" si="12"/>
        <v>0.49871178845577746</v>
      </c>
      <c r="T103">
        <f t="shared" si="13"/>
        <v>-0.5151172900696428</v>
      </c>
      <c r="U103">
        <v>-3.3615052330125517E-2</v>
      </c>
      <c r="V103">
        <v>-6.0310658413772096E-2</v>
      </c>
      <c r="W103">
        <v>10.1</v>
      </c>
    </row>
    <row r="104" spans="1:42" x14ac:dyDescent="0.3">
      <c r="A104">
        <v>10.199999999999999</v>
      </c>
      <c r="B104">
        <v>10.199999999999999</v>
      </c>
      <c r="C104">
        <v>8.3000000000000007</v>
      </c>
      <c r="D104">
        <f t="shared" si="14"/>
        <v>-0.69987468759354232</v>
      </c>
      <c r="E104">
        <f t="shared" si="8"/>
        <v>1.0175948538854767E-2</v>
      </c>
      <c r="F104">
        <f t="shared" si="9"/>
        <v>0.22296424036515528</v>
      </c>
      <c r="G104">
        <f t="shared" si="10"/>
        <v>0.10315015866662451</v>
      </c>
      <c r="H104">
        <f t="shared" si="11"/>
        <v>0.3261143990317798</v>
      </c>
      <c r="I104">
        <f t="shared" si="12"/>
        <v>0.6522287980635596</v>
      </c>
      <c r="T104">
        <f t="shared" si="13"/>
        <v>-0.68969873905468759</v>
      </c>
      <c r="U104">
        <v>-5.6610007341188553E-2</v>
      </c>
      <c r="V104">
        <v>-2.1982806096607195E-2</v>
      </c>
      <c r="W104">
        <v>10.199999999999999</v>
      </c>
    </row>
    <row r="105" spans="1:42" x14ac:dyDescent="0.3">
      <c r="A105">
        <v>10.3</v>
      </c>
      <c r="B105">
        <v>10.3</v>
      </c>
      <c r="C105">
        <v>8.4</v>
      </c>
      <c r="D105">
        <f t="shared" si="14"/>
        <v>-0.76768580976358247</v>
      </c>
      <c r="E105">
        <f t="shared" si="8"/>
        <v>-8.9703136459612129E-2</v>
      </c>
      <c r="F105">
        <f t="shared" si="9"/>
        <v>0.21637465120340088</v>
      </c>
      <c r="G105">
        <f t="shared" si="10"/>
        <v>6.1250618826832769E-2</v>
      </c>
      <c r="H105">
        <f t="shared" si="11"/>
        <v>0.27762527003023363</v>
      </c>
      <c r="I105">
        <f t="shared" si="12"/>
        <v>0.55525054006046726</v>
      </c>
      <c r="T105">
        <f t="shared" si="13"/>
        <v>-0.85738894622319461</v>
      </c>
      <c r="U105">
        <v>-5.8920305567819242E-2</v>
      </c>
      <c r="V105">
        <v>2.2652282211270244E-2</v>
      </c>
      <c r="W105">
        <v>10.3</v>
      </c>
    </row>
    <row r="106" spans="1:42" x14ac:dyDescent="0.3">
      <c r="A106">
        <v>10.4</v>
      </c>
      <c r="B106">
        <v>10.4</v>
      </c>
      <c r="C106">
        <v>8.5</v>
      </c>
      <c r="D106">
        <f t="shared" si="14"/>
        <v>-0.82782646908565372</v>
      </c>
      <c r="E106">
        <f t="shared" si="8"/>
        <v>-0.18868593737048917</v>
      </c>
      <c r="F106">
        <f t="shared" si="9"/>
        <v>0.12977466190045242</v>
      </c>
      <c r="G106">
        <f t="shared" si="10"/>
        <v>-1.471722464346339E-16</v>
      </c>
      <c r="H106">
        <f t="shared" si="11"/>
        <v>0.12977466190045228</v>
      </c>
      <c r="I106">
        <f t="shared" si="12"/>
        <v>0.25954932380090456</v>
      </c>
      <c r="T106">
        <f t="shared" si="13"/>
        <v>-1.0165124064561428</v>
      </c>
      <c r="U106">
        <v>-3.7900865667892435E-2</v>
      </c>
      <c r="V106">
        <v>6.599037146967901E-2</v>
      </c>
      <c r="W106">
        <v>10.4</v>
      </c>
    </row>
    <row r="107" spans="1:42" x14ac:dyDescent="0.3">
      <c r="A107">
        <v>10.5</v>
      </c>
      <c r="B107">
        <v>10.5</v>
      </c>
      <c r="C107">
        <v>8.6</v>
      </c>
      <c r="D107">
        <f t="shared" si="14"/>
        <v>-0.87969575997167004</v>
      </c>
      <c r="E107">
        <f t="shared" si="8"/>
        <v>-0.28578345076643524</v>
      </c>
      <c r="F107">
        <f t="shared" si="9"/>
        <v>-2.0995440771376492E-16</v>
      </c>
      <c r="G107">
        <f t="shared" si="10"/>
        <v>-5.6541447465346048E-2</v>
      </c>
      <c r="H107">
        <f t="shared" si="11"/>
        <v>-5.6541447465346256E-2</v>
      </c>
      <c r="I107">
        <f t="shared" si="12"/>
        <v>-0.11308289493069251</v>
      </c>
      <c r="T107">
        <f t="shared" si="13"/>
        <v>-1.1654792107381053</v>
      </c>
      <c r="U107">
        <v>3.9465368601193301E-16</v>
      </c>
      <c r="V107">
        <v>0.10018930268453743</v>
      </c>
      <c r="W107">
        <v>10.5</v>
      </c>
    </row>
    <row r="108" spans="1:42" x14ac:dyDescent="0.3">
      <c r="A108">
        <v>10.6</v>
      </c>
      <c r="B108">
        <v>10.6</v>
      </c>
      <c r="C108">
        <v>8.6999999999999993</v>
      </c>
      <c r="D108">
        <f t="shared" si="14"/>
        <v>-0.92277542161280657</v>
      </c>
      <c r="E108">
        <f t="shared" si="8"/>
        <v>-0.38002551038977556</v>
      </c>
      <c r="F108">
        <f t="shared" si="9"/>
        <v>-0.12221717393573114</v>
      </c>
      <c r="G108">
        <f t="shared" si="10"/>
        <v>-8.7898767038643202E-2</v>
      </c>
      <c r="H108">
        <f t="shared" si="11"/>
        <v>-0.21011594097437436</v>
      </c>
      <c r="I108">
        <f t="shared" si="12"/>
        <v>-0.42023188194874872</v>
      </c>
      <c r="T108">
        <f t="shared" si="13"/>
        <v>-1.3028009320025822</v>
      </c>
      <c r="U108">
        <v>4.1057517631713961E-2</v>
      </c>
      <c r="V108">
        <v>0.11855883023621418</v>
      </c>
      <c r="W108">
        <v>10.6</v>
      </c>
    </row>
    <row r="109" spans="1:42" x14ac:dyDescent="0.3">
      <c r="A109">
        <v>10.7</v>
      </c>
      <c r="B109">
        <v>10.7</v>
      </c>
      <c r="C109">
        <v>8.8000000000000007</v>
      </c>
      <c r="D109">
        <f t="shared" si="14"/>
        <v>-0.95663501627018788</v>
      </c>
      <c r="E109">
        <f t="shared" si="8"/>
        <v>-0.47047048073303022</v>
      </c>
      <c r="F109">
        <f t="shared" si="9"/>
        <v>-0.19190710013984322</v>
      </c>
      <c r="G109">
        <f t="shared" si="10"/>
        <v>-8.4452207085238679E-2</v>
      </c>
      <c r="H109">
        <f t="shared" si="11"/>
        <v>-0.2763593072250819</v>
      </c>
      <c r="I109">
        <f t="shared" si="12"/>
        <v>-0.55271861445016379</v>
      </c>
      <c r="T109">
        <f t="shared" si="13"/>
        <v>-1.4271054970032182</v>
      </c>
      <c r="U109">
        <v>6.9143619105995216E-2</v>
      </c>
      <c r="V109">
        <v>0.1168300914652388</v>
      </c>
      <c r="W109">
        <v>10.7</v>
      </c>
    </row>
    <row r="110" spans="1:42" x14ac:dyDescent="0.3">
      <c r="A110">
        <v>10.8</v>
      </c>
      <c r="B110">
        <v>10.8</v>
      </c>
      <c r="C110">
        <v>8.9</v>
      </c>
      <c r="D110">
        <f t="shared" si="14"/>
        <v>-0.98093623006649155</v>
      </c>
      <c r="E110">
        <f t="shared" si="8"/>
        <v>-0.55621466554966814</v>
      </c>
      <c r="F110">
        <f t="shared" si="9"/>
        <v>-0.18623538818695756</v>
      </c>
      <c r="G110">
        <f t="shared" si="10"/>
        <v>-5.0147765278584965E-2</v>
      </c>
      <c r="H110">
        <f t="shared" si="11"/>
        <v>-0.23638315346554253</v>
      </c>
      <c r="I110">
        <f t="shared" si="12"/>
        <v>-0.47276630693108507</v>
      </c>
      <c r="T110">
        <f t="shared" si="13"/>
        <v>-1.5371508956161597</v>
      </c>
      <c r="U110">
        <v>7.196542373217435E-2</v>
      </c>
      <c r="V110">
        <v>9.4069900303561424E-2</v>
      </c>
      <c r="W110">
        <v>10.8</v>
      </c>
    </row>
    <row r="111" spans="1:42" x14ac:dyDescent="0.3">
      <c r="A111">
        <v>10.9</v>
      </c>
      <c r="B111">
        <v>10.9</v>
      </c>
      <c r="C111">
        <v>9</v>
      </c>
      <c r="D111">
        <f t="shared" si="14"/>
        <v>-0.99543625330637742</v>
      </c>
      <c r="E111">
        <f t="shared" si="8"/>
        <v>-0.6364013372882571</v>
      </c>
      <c r="F111">
        <f t="shared" si="9"/>
        <v>-0.11169808663558396</v>
      </c>
      <c r="G111">
        <f t="shared" si="10"/>
        <v>-1.8076832822872326E-16</v>
      </c>
      <c r="H111">
        <f t="shared" si="11"/>
        <v>-0.11169808663558414</v>
      </c>
      <c r="I111">
        <f t="shared" si="12"/>
        <v>-0.22339617327116829</v>
      </c>
      <c r="T111">
        <f t="shared" si="13"/>
        <v>-1.6318375905946345</v>
      </c>
      <c r="U111">
        <v>4.6292221863421683E-2</v>
      </c>
      <c r="V111">
        <v>5.3054149886804083E-2</v>
      </c>
      <c r="W111">
        <v>10.9</v>
      </c>
    </row>
    <row r="112" spans="1:42" x14ac:dyDescent="0.3">
      <c r="A112">
        <v>11</v>
      </c>
      <c r="B112">
        <v>11</v>
      </c>
      <c r="C112">
        <v>9.1</v>
      </c>
      <c r="D112">
        <f t="shared" si="14"/>
        <v>-0.99999020655070348</v>
      </c>
      <c r="E112">
        <f t="shared" si="8"/>
        <v>-0.7102292972309725</v>
      </c>
      <c r="F112">
        <f t="shared" si="9"/>
        <v>-1.8074142445301583E-15</v>
      </c>
      <c r="G112">
        <f t="shared" si="10"/>
        <v>4.6292221863421683E-2</v>
      </c>
      <c r="H112">
        <f t="shared" si="11"/>
        <v>4.6292221863419879E-2</v>
      </c>
      <c r="I112">
        <f t="shared" si="12"/>
        <v>9.2584443726839757E-2</v>
      </c>
      <c r="T112">
        <f t="shared" si="13"/>
        <v>-1.7102195037816759</v>
      </c>
      <c r="U112">
        <v>-1.8076832822872326E-16</v>
      </c>
      <c r="V112">
        <v>-1.9760815222667045E-16</v>
      </c>
      <c r="W112">
        <v>11</v>
      </c>
    </row>
    <row r="113" spans="1:23" x14ac:dyDescent="0.3">
      <c r="A113">
        <v>11.1</v>
      </c>
      <c r="B113">
        <v>11.1</v>
      </c>
      <c r="C113">
        <v>9.1999999999999993</v>
      </c>
      <c r="D113">
        <f t="shared" si="14"/>
        <v>-0.99455258820398917</v>
      </c>
      <c r="E113">
        <f t="shared" si="8"/>
        <v>-0.77696088080635073</v>
      </c>
      <c r="F113">
        <f t="shared" si="9"/>
        <v>0.10519329646261298</v>
      </c>
      <c r="G113">
        <f t="shared" si="10"/>
        <v>7.196542373217435E-2</v>
      </c>
      <c r="H113">
        <f t="shared" si="11"/>
        <v>0.17715872019478734</v>
      </c>
      <c r="I113">
        <f t="shared" si="12"/>
        <v>0.35431744038957469</v>
      </c>
      <c r="T113">
        <f t="shared" si="13"/>
        <v>-1.77151346901034</v>
      </c>
      <c r="U113">
        <v>-5.0147765278584965E-2</v>
      </c>
      <c r="V113">
        <v>-5.6334835295704301E-2</v>
      </c>
      <c r="W113">
        <v>11.1</v>
      </c>
    </row>
    <row r="114" spans="1:23" x14ac:dyDescent="0.3">
      <c r="A114">
        <v>11.2</v>
      </c>
      <c r="B114">
        <v>11.2</v>
      </c>
      <c r="C114">
        <v>9.3000000000000007</v>
      </c>
      <c r="D114">
        <f t="shared" si="14"/>
        <v>-0.9791777291513174</v>
      </c>
      <c r="E114">
        <f t="shared" si="8"/>
        <v>-0.83592932808983056</v>
      </c>
      <c r="F114">
        <f t="shared" si="9"/>
        <v>0.16517597182296551</v>
      </c>
      <c r="G114">
        <f t="shared" si="10"/>
        <v>6.9143619105995216E-2</v>
      </c>
      <c r="H114">
        <f t="shared" si="11"/>
        <v>0.23431959092896071</v>
      </c>
      <c r="I114">
        <f t="shared" si="12"/>
        <v>0.46863918185792142</v>
      </c>
      <c r="T114">
        <f t="shared" si="13"/>
        <v>-1.8151070572411481</v>
      </c>
      <c r="U114">
        <v>-8.4452207085238679E-2</v>
      </c>
      <c r="V114">
        <v>-0.10606351642065151</v>
      </c>
      <c r="W114">
        <v>11.2</v>
      </c>
    </row>
    <row r="115" spans="1:23" x14ac:dyDescent="0.3">
      <c r="A115">
        <v>11.3</v>
      </c>
      <c r="B115">
        <v>11.3</v>
      </c>
      <c r="C115">
        <v>9.4</v>
      </c>
      <c r="D115">
        <f t="shared" si="14"/>
        <v>-0.95401924990208897</v>
      </c>
      <c r="E115">
        <f t="shared" si="8"/>
        <v>-0.88654544584853701</v>
      </c>
      <c r="F115">
        <f t="shared" si="9"/>
        <v>0.16029428410513116</v>
      </c>
      <c r="G115">
        <f t="shared" si="10"/>
        <v>4.1057517631713961E-2</v>
      </c>
      <c r="H115">
        <f t="shared" si="11"/>
        <v>0.20135180173684514</v>
      </c>
      <c r="I115">
        <f t="shared" si="12"/>
        <v>0.40270360347369027</v>
      </c>
      <c r="T115">
        <f t="shared" si="13"/>
        <v>-1.8405646957506261</v>
      </c>
      <c r="U115">
        <v>-8.7898767038643202E-2</v>
      </c>
      <c r="V115">
        <v>-0.13987101403729324</v>
      </c>
      <c r="W115">
        <v>11.3</v>
      </c>
    </row>
    <row r="116" spans="1:23" x14ac:dyDescent="0.3">
      <c r="A116">
        <v>11.4</v>
      </c>
      <c r="B116">
        <v>11.4</v>
      </c>
      <c r="C116">
        <v>9.5</v>
      </c>
      <c r="D116">
        <f t="shared" si="14"/>
        <v>-0.91932852566467571</v>
      </c>
      <c r="E116">
        <f t="shared" si="8"/>
        <v>-0.9283034945652866</v>
      </c>
      <c r="F116">
        <f t="shared" si="9"/>
        <v>9.6139434118663825E-2</v>
      </c>
      <c r="G116">
        <f t="shared" si="10"/>
        <v>3.9465368601193301E-16</v>
      </c>
      <c r="H116">
        <f t="shared" si="11"/>
        <v>9.6139434118664213E-2</v>
      </c>
      <c r="I116">
        <f t="shared" si="12"/>
        <v>0.19227886823732843</v>
      </c>
      <c r="T116">
        <f t="shared" si="13"/>
        <v>-1.8476320202299623</v>
      </c>
      <c r="U116">
        <v>-5.6541447465346048E-2</v>
      </c>
      <c r="V116">
        <v>-0.15071781220088692</v>
      </c>
      <c r="W116">
        <v>11.4</v>
      </c>
    </row>
    <row r="117" spans="1:23" x14ac:dyDescent="0.3">
      <c r="A117">
        <v>11.5</v>
      </c>
      <c r="B117">
        <v>11.5</v>
      </c>
      <c r="C117">
        <v>9.6</v>
      </c>
      <c r="D117">
        <f t="shared" si="14"/>
        <v>-0.87545217468842851</v>
      </c>
      <c r="E117">
        <f t="shared" si="8"/>
        <v>-0.9607862416206765</v>
      </c>
      <c r="F117">
        <f t="shared" si="9"/>
        <v>1.0111866326377736E-15</v>
      </c>
      <c r="G117">
        <f t="shared" si="10"/>
        <v>-3.7900865667892435E-2</v>
      </c>
      <c r="H117">
        <f t="shared" si="11"/>
        <v>-3.7900865667891422E-2</v>
      </c>
      <c r="I117">
        <f t="shared" si="12"/>
        <v>-7.5801731335782843E-2</v>
      </c>
      <c r="T117">
        <f t="shared" si="13"/>
        <v>-1.836238416309105</v>
      </c>
      <c r="U117">
        <v>-1.471722464346339E-16</v>
      </c>
      <c r="V117">
        <v>-0.13524141265362077</v>
      </c>
      <c r="W117">
        <v>11.5</v>
      </c>
    </row>
    <row r="118" spans="1:23" x14ac:dyDescent="0.3">
      <c r="A118">
        <v>11.6</v>
      </c>
      <c r="B118">
        <v>11.6</v>
      </c>
      <c r="C118">
        <v>9.6999999999999993</v>
      </c>
      <c r="D118">
        <f t="shared" si="14"/>
        <v>-0.82282859496870886</v>
      </c>
      <c r="E118">
        <f t="shared" si="8"/>
        <v>-0.98366913014349988</v>
      </c>
      <c r="F118">
        <f t="shared" si="9"/>
        <v>-9.0540709331817196E-2</v>
      </c>
      <c r="G118">
        <f t="shared" si="10"/>
        <v>-5.8920305567819242E-2</v>
      </c>
      <c r="H118">
        <f t="shared" si="11"/>
        <v>-0.14946101489963642</v>
      </c>
      <c r="I118">
        <f t="shared" si="12"/>
        <v>-0.29892202979927285</v>
      </c>
      <c r="T118">
        <f t="shared" si="13"/>
        <v>-1.8064977251122087</v>
      </c>
      <c r="U118">
        <v>6.1250618826832769E-2</v>
      </c>
      <c r="V118">
        <v>-9.4585940505254026E-2</v>
      </c>
      <c r="W118">
        <v>11.6</v>
      </c>
    </row>
    <row r="119" spans="1:23" x14ac:dyDescent="0.3">
      <c r="A119">
        <v>11.7</v>
      </c>
      <c r="B119">
        <v>11.7</v>
      </c>
      <c r="C119">
        <v>9.8000000000000007</v>
      </c>
      <c r="D119">
        <f t="shared" si="14"/>
        <v>-0.76198358391903331</v>
      </c>
      <c r="E119">
        <f t="shared" si="8"/>
        <v>-0.99672352187571267</v>
      </c>
      <c r="F119">
        <f t="shared" si="9"/>
        <v>-0.14216827646178651</v>
      </c>
      <c r="G119">
        <f t="shared" si="10"/>
        <v>-5.6610007341188553E-2</v>
      </c>
      <c r="H119">
        <f t="shared" si="11"/>
        <v>-0.19877828380297508</v>
      </c>
      <c r="I119">
        <f t="shared" si="12"/>
        <v>-0.39755656760595015</v>
      </c>
      <c r="T119">
        <f t="shared" si="13"/>
        <v>-1.7587071057947461</v>
      </c>
      <c r="U119">
        <v>0.10315015866662451</v>
      </c>
      <c r="V119">
        <v>-3.4475902672576671E-2</v>
      </c>
      <c r="W119">
        <v>11.7</v>
      </c>
    </row>
    <row r="120" spans="1:23" x14ac:dyDescent="0.3">
      <c r="A120">
        <v>11.8</v>
      </c>
      <c r="B120">
        <v>11.8</v>
      </c>
      <c r="C120">
        <v>9.9</v>
      </c>
      <c r="D120">
        <f t="shared" si="14"/>
        <v>-0.69352508477712238</v>
      </c>
      <c r="E120">
        <f t="shared" si="8"/>
        <v>-0.99981898165033545</v>
      </c>
      <c r="F120">
        <f t="shared" si="9"/>
        <v>-0.13796656890463063</v>
      </c>
      <c r="G120">
        <f t="shared" si="10"/>
        <v>-3.3615052330125517E-2</v>
      </c>
      <c r="H120">
        <f t="shared" si="11"/>
        <v>-0.17158162123475615</v>
      </c>
      <c r="I120">
        <f t="shared" si="12"/>
        <v>-0.3431632424695123</v>
      </c>
      <c r="T120">
        <f t="shared" si="13"/>
        <v>-1.6933440664274579</v>
      </c>
      <c r="U120">
        <v>0.10735979649987694</v>
      </c>
      <c r="V120">
        <v>3.5525850221097277E-2</v>
      </c>
      <c r="W120">
        <v>11.8</v>
      </c>
    </row>
    <row r="121" spans="1:23" x14ac:dyDescent="0.3">
      <c r="A121">
        <v>11.9</v>
      </c>
      <c r="B121">
        <v>11.9</v>
      </c>
      <c r="C121">
        <v>10</v>
      </c>
      <c r="D121">
        <f t="shared" si="14"/>
        <v>-0.61813711223703327</v>
      </c>
      <c r="E121">
        <f t="shared" si="8"/>
        <v>-0.99292458065652267</v>
      </c>
      <c r="F121">
        <f t="shared" si="9"/>
        <v>-8.2747977794926528E-2</v>
      </c>
      <c r="G121">
        <f t="shared" si="10"/>
        <v>-1.3463626011118148E-16</v>
      </c>
      <c r="H121">
        <f t="shared" si="11"/>
        <v>-8.2747977794926666E-2</v>
      </c>
      <c r="I121">
        <f t="shared" si="12"/>
        <v>-0.16549595558985333</v>
      </c>
      <c r="T121">
        <f t="shared" si="13"/>
        <v>-1.6110616928935559</v>
      </c>
      <c r="U121">
        <v>6.9059879884541667E-2</v>
      </c>
      <c r="V121">
        <v>0.10349350370092038</v>
      </c>
      <c r="W121">
        <v>11.9</v>
      </c>
    </row>
    <row r="122" spans="1:23" x14ac:dyDescent="0.3">
      <c r="A122">
        <v>12</v>
      </c>
      <c r="B122">
        <v>12</v>
      </c>
      <c r="C122">
        <v>10.1</v>
      </c>
      <c r="D122">
        <f t="shared" si="14"/>
        <v>-0.53657291800043494</v>
      </c>
      <c r="E122">
        <f t="shared" si="8"/>
        <v>-0.97610920547001923</v>
      </c>
      <c r="F122">
        <f t="shared" si="9"/>
        <v>-4.0170739606382961E-16</v>
      </c>
      <c r="G122">
        <f t="shared" si="10"/>
        <v>3.103060429058084E-2</v>
      </c>
      <c r="H122">
        <f t="shared" si="11"/>
        <v>3.1030604290580438E-2</v>
      </c>
      <c r="I122">
        <f t="shared" si="12"/>
        <v>6.2061208581160876E-2</v>
      </c>
      <c r="T122">
        <f t="shared" si="13"/>
        <v>-1.5126821234704542</v>
      </c>
      <c r="U122">
        <v>-2.3971080586927374E-16</v>
      </c>
      <c r="V122">
        <v>0.15712810425592297</v>
      </c>
      <c r="W122">
        <v>12</v>
      </c>
    </row>
    <row r="123" spans="1:23" x14ac:dyDescent="0.3">
      <c r="A123">
        <v>12.1</v>
      </c>
      <c r="B123">
        <v>12.1</v>
      </c>
      <c r="C123">
        <v>10.199999999999999</v>
      </c>
      <c r="D123">
        <f t="shared" si="14"/>
        <v>-0.44964746453460147</v>
      </c>
      <c r="E123">
        <f t="shared" si="8"/>
        <v>-0.94954086976126351</v>
      </c>
      <c r="F123">
        <f t="shared" si="9"/>
        <v>7.7929110713078106E-2</v>
      </c>
      <c r="G123">
        <f t="shared" si="10"/>
        <v>4.8239866149125399E-2</v>
      </c>
      <c r="H123">
        <f t="shared" si="11"/>
        <v>0.12616897686220352</v>
      </c>
      <c r="I123">
        <f t="shared" si="12"/>
        <v>0.25233795372440704</v>
      </c>
      <c r="T123">
        <f t="shared" si="13"/>
        <v>-1.3991883342958649</v>
      </c>
      <c r="U123">
        <v>-7.4811674774110409E-2</v>
      </c>
      <c r="V123">
        <v>0.18593725815691489</v>
      </c>
      <c r="W123">
        <v>12.1</v>
      </c>
    </row>
    <row r="124" spans="1:23" x14ac:dyDescent="0.3">
      <c r="A124">
        <v>12.2</v>
      </c>
      <c r="B124">
        <v>12.2</v>
      </c>
      <c r="C124">
        <v>10.3</v>
      </c>
      <c r="D124">
        <f t="shared" si="14"/>
        <v>-0.35822928223682871</v>
      </c>
      <c r="E124">
        <f t="shared" si="8"/>
        <v>-0.91348503555833516</v>
      </c>
      <c r="F124">
        <f t="shared" si="9"/>
        <v>0.1223653695452626</v>
      </c>
      <c r="G124">
        <f t="shared" si="10"/>
        <v>4.6348353942201347E-2</v>
      </c>
      <c r="H124">
        <f t="shared" si="11"/>
        <v>0.16871372348746394</v>
      </c>
      <c r="I124">
        <f t="shared" si="12"/>
        <v>0.33742744697492788</v>
      </c>
      <c r="T124">
        <f t="shared" si="13"/>
        <v>-1.2717143177951638</v>
      </c>
      <c r="U124">
        <v>-0.12598788830007449</v>
      </c>
      <c r="V124">
        <v>0.18322605607686504</v>
      </c>
      <c r="W124">
        <v>12.2</v>
      </c>
    </row>
    <row r="125" spans="1:23" x14ac:dyDescent="0.3">
      <c r="A125">
        <v>12.3</v>
      </c>
      <c r="B125">
        <v>12.3</v>
      </c>
      <c r="C125">
        <v>10.4</v>
      </c>
      <c r="D125">
        <f t="shared" si="14"/>
        <v>-0.26323179136580094</v>
      </c>
      <c r="E125">
        <f t="shared" si="8"/>
        <v>-0.86830196083811295</v>
      </c>
      <c r="F125">
        <f t="shared" si="9"/>
        <v>0.1187489263362128</v>
      </c>
      <c r="G125">
        <f t="shared" si="10"/>
        <v>2.7521677108999578E-2</v>
      </c>
      <c r="H125">
        <f t="shared" si="11"/>
        <v>0.14627060344521237</v>
      </c>
      <c r="I125">
        <f t="shared" si="12"/>
        <v>0.29254120689042473</v>
      </c>
      <c r="T125">
        <f t="shared" si="13"/>
        <v>-1.1315337522039139</v>
      </c>
      <c r="U125">
        <v>-0.13112955156046463</v>
      </c>
      <c r="V125">
        <v>0.14753097093392167</v>
      </c>
      <c r="W125">
        <v>12.3</v>
      </c>
    </row>
    <row r="126" spans="1:23" x14ac:dyDescent="0.3">
      <c r="A126">
        <v>12.4</v>
      </c>
      <c r="B126">
        <v>12.4</v>
      </c>
      <c r="C126">
        <v>10.5</v>
      </c>
      <c r="D126">
        <f t="shared" si="14"/>
        <v>-0.16560417544830941</v>
      </c>
      <c r="E126">
        <f t="shared" si="8"/>
        <v>-0.81444309994766373</v>
      </c>
      <c r="F126">
        <f t="shared" si="9"/>
        <v>7.1221844521136488E-2</v>
      </c>
      <c r="G126">
        <f t="shared" si="10"/>
        <v>-4.4082583710792396E-17</v>
      </c>
      <c r="H126">
        <f t="shared" si="11"/>
        <v>7.1221844521136446E-2</v>
      </c>
      <c r="I126">
        <f t="shared" si="12"/>
        <v>0.14244368904227289</v>
      </c>
      <c r="T126">
        <f t="shared" si="13"/>
        <v>-0.98004727539597314</v>
      </c>
      <c r="U126">
        <v>-8.4349927769189662E-2</v>
      </c>
      <c r="V126">
        <v>8.3205469758297415E-2</v>
      </c>
      <c r="W126">
        <v>12.4</v>
      </c>
    </row>
    <row r="127" spans="1:23" x14ac:dyDescent="0.3">
      <c r="A127">
        <v>12.5</v>
      </c>
      <c r="B127">
        <v>12.5</v>
      </c>
      <c r="C127">
        <v>10.6</v>
      </c>
      <c r="D127">
        <f t="shared" si="14"/>
        <v>-6.6321897351200684E-2</v>
      </c>
      <c r="E127">
        <f t="shared" si="8"/>
        <v>-0.75244659282163495</v>
      </c>
      <c r="F127">
        <f t="shared" si="9"/>
        <v>-5.7599962005697263E-17</v>
      </c>
      <c r="G127">
        <f t="shared" si="10"/>
        <v>-2.5405710019291972E-2</v>
      </c>
      <c r="H127">
        <f t="shared" si="11"/>
        <v>-2.5405710019292031E-2</v>
      </c>
      <c r="I127">
        <f t="shared" si="12"/>
        <v>-5.0811420038584063E-2</v>
      </c>
      <c r="T127">
        <f t="shared" si="13"/>
        <v>-0.81876849017283559</v>
      </c>
      <c r="U127">
        <v>8.0512207093759035E-16</v>
      </c>
      <c r="V127">
        <v>-1.0071659279128718E-15</v>
      </c>
      <c r="W127">
        <v>12.5</v>
      </c>
    </row>
    <row r="128" spans="1:23" x14ac:dyDescent="0.3">
      <c r="A128">
        <v>12.6</v>
      </c>
      <c r="B128">
        <v>12.6</v>
      </c>
      <c r="C128">
        <v>10.7</v>
      </c>
      <c r="D128">
        <f t="shared" si="14"/>
        <v>3.3623047221136695E-2</v>
      </c>
      <c r="E128">
        <f t="shared" si="8"/>
        <v>-0.68293188806590488</v>
      </c>
      <c r="F128">
        <f t="shared" si="9"/>
        <v>-6.7074207186456763E-2</v>
      </c>
      <c r="G128">
        <f t="shared" si="10"/>
        <v>-3.9495461940654508E-2</v>
      </c>
      <c r="H128">
        <f t="shared" si="11"/>
        <v>-0.10656966912711127</v>
      </c>
      <c r="I128">
        <f t="shared" si="12"/>
        <v>-0.21313933825422254</v>
      </c>
      <c r="T128">
        <f t="shared" si="13"/>
        <v>-0.64930884084476814</v>
      </c>
      <c r="U128">
        <v>9.1375185911680465E-2</v>
      </c>
      <c r="V128">
        <v>-8.8350608661835334E-2</v>
      </c>
      <c r="W128">
        <v>12.6</v>
      </c>
    </row>
    <row r="129" spans="1:23" x14ac:dyDescent="0.3">
      <c r="A129">
        <v>12.7</v>
      </c>
      <c r="B129">
        <v>12.7</v>
      </c>
      <c r="C129">
        <v>10.8</v>
      </c>
      <c r="D129">
        <f t="shared" si="14"/>
        <v>0.13323204141994222</v>
      </c>
      <c r="E129">
        <f t="shared" si="8"/>
        <v>-0.60659355363189127</v>
      </c>
      <c r="F129">
        <f t="shared" si="9"/>
        <v>-0.10532084960580751</v>
      </c>
      <c r="G129">
        <f t="shared" si="10"/>
        <v>-3.7946822727023481E-2</v>
      </c>
      <c r="H129">
        <f t="shared" si="11"/>
        <v>-0.143267672332831</v>
      </c>
      <c r="I129">
        <f t="shared" si="12"/>
        <v>-0.286535344665662</v>
      </c>
      <c r="T129">
        <f t="shared" si="13"/>
        <v>-0.47336151221194905</v>
      </c>
      <c r="U129">
        <v>0.15388195426448653</v>
      </c>
      <c r="V129">
        <v>-0.16634070523844491</v>
      </c>
      <c r="W129">
        <v>12.7</v>
      </c>
    </row>
    <row r="130" spans="1:23" x14ac:dyDescent="0.3">
      <c r="A130">
        <v>12.8</v>
      </c>
      <c r="B130">
        <v>12.8</v>
      </c>
      <c r="C130">
        <v>10.9</v>
      </c>
      <c r="D130">
        <f t="shared" si="14"/>
        <v>0.23150982510153895</v>
      </c>
      <c r="E130">
        <f t="shared" si="8"/>
        <v>-0.52419433692315498</v>
      </c>
      <c r="F130">
        <f t="shared" si="9"/>
        <v>-0.10220814808949036</v>
      </c>
      <c r="G130">
        <f t="shared" si="10"/>
        <v>-2.2532843425420175E-2</v>
      </c>
      <c r="H130">
        <f t="shared" si="11"/>
        <v>-0.12474099151491053</v>
      </c>
      <c r="I130">
        <f t="shared" si="12"/>
        <v>-0.24948198302982105</v>
      </c>
      <c r="T130">
        <f t="shared" si="13"/>
        <v>-0.29268451182161603</v>
      </c>
      <c r="U130">
        <v>0.16016199595225747</v>
      </c>
      <c r="V130">
        <v>-0.2193614157115534</v>
      </c>
      <c r="W130">
        <v>12.8</v>
      </c>
    </row>
    <row r="131" spans="1:23" x14ac:dyDescent="0.3">
      <c r="A131">
        <v>12.9</v>
      </c>
      <c r="B131">
        <v>12.9</v>
      </c>
      <c r="C131">
        <v>11</v>
      </c>
      <c r="D131">
        <f t="shared" si="14"/>
        <v>0.32747443913769303</v>
      </c>
      <c r="E131">
        <f t="shared" ref="E131:E194" si="16">SIN(B131-(PI()/4))</f>
        <v>-0.4365575436754926</v>
      </c>
      <c r="F131">
        <f t="shared" ref="F131:F194" si="17">($J$3*EXP(-$K$3*B131)*SIN(2*PI()*B131/$L$3)+$M$3)</f>
        <v>-6.1301209675047159E-2</v>
      </c>
      <c r="G131">
        <f t="shared" ref="G131:G194" si="18">($N$3*EXP(-$O$3*C131)*SIN(2*PI()*C131/$P$3)+$Q$3)</f>
        <v>-3.6098156296085946E-16</v>
      </c>
      <c r="H131">
        <f t="shared" ref="H131:H194" si="19">F131+G131</f>
        <v>-6.130120967504752E-2</v>
      </c>
      <c r="I131">
        <f t="shared" ref="I131:I194" si="20">H131*2</f>
        <v>-0.12260241935009504</v>
      </c>
      <c r="T131">
        <f t="shared" ref="T131:T194" si="21">D131+E131</f>
        <v>-0.10908310453779957</v>
      </c>
      <c r="U131">
        <v>0.10302523442789888</v>
      </c>
      <c r="V131">
        <v>-0.23637258144506973</v>
      </c>
      <c r="W131">
        <v>12.9</v>
      </c>
    </row>
    <row r="132" spans="1:23" x14ac:dyDescent="0.3">
      <c r="A132">
        <v>13</v>
      </c>
      <c r="B132">
        <v>13</v>
      </c>
      <c r="C132">
        <v>11.1</v>
      </c>
      <c r="D132">
        <f t="shared" ref="D132:D195" si="22">SIN(B132)</f>
        <v>0.42016703682664092</v>
      </c>
      <c r="E132">
        <f t="shared" si="16"/>
        <v>-0.34455881175816588</v>
      </c>
      <c r="F132">
        <f t="shared" si="17"/>
        <v>3.9674565186686017E-16</v>
      </c>
      <c r="G132">
        <f t="shared" si="18"/>
        <v>2.0800436096575843E-2</v>
      </c>
      <c r="H132">
        <f t="shared" si="19"/>
        <v>2.0800436096576239E-2</v>
      </c>
      <c r="I132">
        <f t="shared" si="20"/>
        <v>4.1600872193152477E-2</v>
      </c>
      <c r="T132">
        <f t="shared" si="21"/>
        <v>7.5608225068475032E-2</v>
      </c>
      <c r="U132">
        <v>-3.129056879263652E-16</v>
      </c>
      <c r="V132">
        <v>-0.21210075544757731</v>
      </c>
      <c r="W132">
        <v>13</v>
      </c>
    </row>
    <row r="133" spans="1:23" x14ac:dyDescent="0.3">
      <c r="A133">
        <v>13.1</v>
      </c>
      <c r="B133">
        <v>13.1</v>
      </c>
      <c r="C133">
        <v>11.2</v>
      </c>
      <c r="D133">
        <f t="shared" si="22"/>
        <v>0.5086614643723737</v>
      </c>
      <c r="E133">
        <f t="shared" si="16"/>
        <v>-0.24911736208974858</v>
      </c>
      <c r="F133">
        <f t="shared" si="17"/>
        <v>5.7731305137770556E-2</v>
      </c>
      <c r="G133">
        <f t="shared" si="18"/>
        <v>3.2336149297834897E-2</v>
      </c>
      <c r="H133">
        <f t="shared" si="19"/>
        <v>9.006745443560546E-2</v>
      </c>
      <c r="I133">
        <f t="shared" si="20"/>
        <v>0.18013490887121092</v>
      </c>
      <c r="T133">
        <f t="shared" si="21"/>
        <v>0.25954410228262514</v>
      </c>
      <c r="U133">
        <v>-0.11160590409992424</v>
      </c>
      <c r="V133">
        <v>-0.14834028307043881</v>
      </c>
      <c r="W133">
        <v>13.1</v>
      </c>
    </row>
    <row r="134" spans="1:23" x14ac:dyDescent="0.3">
      <c r="A134">
        <v>13.2</v>
      </c>
      <c r="B134">
        <v>13.2</v>
      </c>
      <c r="C134">
        <v>11.3</v>
      </c>
      <c r="D134">
        <f t="shared" si="22"/>
        <v>0.59207351470722303</v>
      </c>
      <c r="E134">
        <f t="shared" si="16"/>
        <v>-0.15118681408658552</v>
      </c>
      <c r="F134">
        <f t="shared" si="17"/>
        <v>9.0650495339582526E-2</v>
      </c>
      <c r="G134">
        <f t="shared" si="18"/>
        <v>3.1068230748212571E-2</v>
      </c>
      <c r="H134">
        <f t="shared" si="19"/>
        <v>0.1217187260877951</v>
      </c>
      <c r="I134">
        <f t="shared" si="20"/>
        <v>0.24343745217559021</v>
      </c>
      <c r="T134">
        <f t="shared" si="21"/>
        <v>0.44088670062063751</v>
      </c>
      <c r="U134">
        <v>-0.18795184336972071</v>
      </c>
      <c r="V134">
        <v>-5.4068978267174231E-2</v>
      </c>
      <c r="W134">
        <v>13.2</v>
      </c>
    </row>
    <row r="135" spans="1:23" x14ac:dyDescent="0.3">
      <c r="A135">
        <v>13.3</v>
      </c>
      <c r="B135">
        <v>13.3</v>
      </c>
      <c r="C135">
        <v>11.4</v>
      </c>
      <c r="D135">
        <f t="shared" si="22"/>
        <v>0.66956976219660236</v>
      </c>
      <c r="E135">
        <f t="shared" si="16"/>
        <v>-5.1745657412782142E-2</v>
      </c>
      <c r="F135">
        <f t="shared" si="17"/>
        <v>8.797136831625775E-2</v>
      </c>
      <c r="G135">
        <f t="shared" si="18"/>
        <v>1.8448331866682426E-2</v>
      </c>
      <c r="H135">
        <f t="shared" si="19"/>
        <v>0.10641970018294017</v>
      </c>
      <c r="I135">
        <f t="shared" si="20"/>
        <v>0.21283940036588034</v>
      </c>
      <c r="T135">
        <f t="shared" si="21"/>
        <v>0.61782410478382022</v>
      </c>
      <c r="U135">
        <v>-0.19562230360852553</v>
      </c>
      <c r="V135">
        <v>5.5715623801643514E-2</v>
      </c>
      <c r="W135">
        <v>13.3</v>
      </c>
    </row>
    <row r="136" spans="1:23" x14ac:dyDescent="0.3">
      <c r="A136">
        <v>13.4</v>
      </c>
      <c r="B136">
        <v>13.4</v>
      </c>
      <c r="C136">
        <v>11.5</v>
      </c>
      <c r="D136">
        <f t="shared" si="22"/>
        <v>0.74037588995244863</v>
      </c>
      <c r="E136">
        <f t="shared" si="16"/>
        <v>4.8212524765049579E-2</v>
      </c>
      <c r="F136">
        <f t="shared" si="17"/>
        <v>5.2762440131817807E-2</v>
      </c>
      <c r="G136">
        <f t="shared" si="18"/>
        <v>1.9210732115862471E-16</v>
      </c>
      <c r="H136">
        <f t="shared" si="19"/>
        <v>5.2762440131818002E-2</v>
      </c>
      <c r="I136">
        <f t="shared" si="20"/>
        <v>0.105524880263636</v>
      </c>
      <c r="T136">
        <f t="shared" si="21"/>
        <v>0.78858841471749819</v>
      </c>
      <c r="U136">
        <v>-0.12583530549033439</v>
      </c>
      <c r="V136">
        <v>0.16231012297322525</v>
      </c>
      <c r="W136">
        <v>13.4</v>
      </c>
    </row>
    <row r="137" spans="1:23" x14ac:dyDescent="0.3">
      <c r="A137">
        <v>13.5</v>
      </c>
      <c r="B137">
        <v>13.5</v>
      </c>
      <c r="C137">
        <v>11.6</v>
      </c>
      <c r="D137">
        <f t="shared" si="22"/>
        <v>0.80378442655162097</v>
      </c>
      <c r="E137">
        <f t="shared" si="16"/>
        <v>0.14768898333236721</v>
      </c>
      <c r="F137">
        <f t="shared" si="17"/>
        <v>5.9764098099517496E-16</v>
      </c>
      <c r="G137">
        <f t="shared" si="18"/>
        <v>-1.7029956709700065E-2</v>
      </c>
      <c r="H137">
        <f t="shared" si="19"/>
        <v>-1.7029956709699468E-2</v>
      </c>
      <c r="I137">
        <f t="shared" si="20"/>
        <v>-3.4059913419398936E-2</v>
      </c>
      <c r="T137">
        <f t="shared" si="21"/>
        <v>0.95147340988398821</v>
      </c>
      <c r="U137">
        <v>-4.3673324948624833E-16</v>
      </c>
      <c r="V137">
        <v>0.2464259205875331</v>
      </c>
      <c r="W137">
        <v>13.5</v>
      </c>
    </row>
    <row r="138" spans="1:23" x14ac:dyDescent="0.3">
      <c r="A138">
        <v>13.6</v>
      </c>
      <c r="B138">
        <v>13.6</v>
      </c>
      <c r="C138">
        <v>11.7</v>
      </c>
      <c r="D138">
        <f t="shared" si="22"/>
        <v>0.85916181485649579</v>
      </c>
      <c r="E138">
        <f t="shared" si="16"/>
        <v>0.24568978239771855</v>
      </c>
      <c r="F138">
        <f t="shared" si="17"/>
        <v>-4.9689794821508253E-2</v>
      </c>
      <c r="G138">
        <f t="shared" si="18"/>
        <v>-2.6474599866258323E-2</v>
      </c>
      <c r="H138">
        <f t="shared" si="19"/>
        <v>-7.6164394687766576E-2</v>
      </c>
      <c r="I138">
        <f t="shared" si="20"/>
        <v>-0.15232878937553315</v>
      </c>
      <c r="T138">
        <f t="shared" si="21"/>
        <v>1.1048515972542143</v>
      </c>
      <c r="U138">
        <v>0.1363157590946075</v>
      </c>
      <c r="V138">
        <v>0.29160766770412111</v>
      </c>
      <c r="W138">
        <v>13.6</v>
      </c>
    </row>
    <row r="139" spans="1:23" x14ac:dyDescent="0.3">
      <c r="A139">
        <v>13.7</v>
      </c>
      <c r="B139">
        <v>13.7</v>
      </c>
      <c r="C139">
        <v>11.8</v>
      </c>
      <c r="D139">
        <f t="shared" si="22"/>
        <v>0.90595474230846185</v>
      </c>
      <c r="E139">
        <f t="shared" si="16"/>
        <v>0.34123573037159283</v>
      </c>
      <c r="F139">
        <f t="shared" si="17"/>
        <v>-7.8023604405660946E-2</v>
      </c>
      <c r="G139">
        <f t="shared" si="18"/>
        <v>-2.5436515957284557E-2</v>
      </c>
      <c r="H139">
        <f t="shared" si="19"/>
        <v>-0.1034601203629455</v>
      </c>
      <c r="I139">
        <f t="shared" si="20"/>
        <v>-0.20692024072589099</v>
      </c>
      <c r="T139">
        <f t="shared" si="21"/>
        <v>1.2471904726800547</v>
      </c>
      <c r="U139">
        <v>0.22956489989306542</v>
      </c>
      <c r="V139">
        <v>0.28735565644465211</v>
      </c>
      <c r="W139">
        <v>13.7</v>
      </c>
    </row>
    <row r="140" spans="1:23" x14ac:dyDescent="0.3">
      <c r="A140">
        <v>13.8</v>
      </c>
      <c r="B140">
        <v>13.8</v>
      </c>
      <c r="C140">
        <v>11.9</v>
      </c>
      <c r="D140">
        <f t="shared" si="22"/>
        <v>0.94369566944410477</v>
      </c>
      <c r="E140">
        <f t="shared" si="16"/>
        <v>0.43337216372513315</v>
      </c>
      <c r="F140">
        <f t="shared" si="17"/>
        <v>-7.5717658406829605E-2</v>
      </c>
      <c r="G140">
        <f t="shared" si="18"/>
        <v>-1.5104216642241651E-2</v>
      </c>
      <c r="H140">
        <f t="shared" si="19"/>
        <v>-9.0821875049071257E-2</v>
      </c>
      <c r="I140">
        <f t="shared" si="20"/>
        <v>-0.18164375009814251</v>
      </c>
      <c r="T140">
        <f t="shared" si="21"/>
        <v>1.3770678331692379</v>
      </c>
      <c r="U140">
        <v>0.23893362118509887</v>
      </c>
      <c r="V140">
        <v>0.23137461945286461</v>
      </c>
      <c r="W140">
        <v>13.8</v>
      </c>
    </row>
    <row r="141" spans="1:23" x14ac:dyDescent="0.3">
      <c r="A141">
        <v>13.9</v>
      </c>
      <c r="B141">
        <v>13.9</v>
      </c>
      <c r="C141">
        <v>12</v>
      </c>
      <c r="D141">
        <f t="shared" si="22"/>
        <v>0.97200750139497594</v>
      </c>
      <c r="E141">
        <f t="shared" si="16"/>
        <v>0.52117848567252312</v>
      </c>
      <c r="F141">
        <f t="shared" si="17"/>
        <v>-4.5413053077105817E-2</v>
      </c>
      <c r="G141">
        <f t="shared" si="18"/>
        <v>-7.2595165546048724E-17</v>
      </c>
      <c r="H141">
        <f t="shared" si="19"/>
        <v>-4.5413053077105886E-2</v>
      </c>
      <c r="I141">
        <f t="shared" si="20"/>
        <v>-9.0826106154211772E-2</v>
      </c>
      <c r="T141">
        <f t="shared" si="21"/>
        <v>1.4931859870674991</v>
      </c>
      <c r="U141">
        <v>0.15369558919982129</v>
      </c>
      <c r="V141">
        <v>0.13049215212137164</v>
      </c>
      <c r="W141">
        <v>13.9</v>
      </c>
    </row>
    <row r="142" spans="1:23" x14ac:dyDescent="0.3">
      <c r="A142">
        <v>14</v>
      </c>
      <c r="B142">
        <v>14</v>
      </c>
      <c r="C142">
        <v>12.1</v>
      </c>
      <c r="D142">
        <f t="shared" si="22"/>
        <v>0.99060735569487035</v>
      </c>
      <c r="E142">
        <f t="shared" si="16"/>
        <v>0.60377736446977259</v>
      </c>
      <c r="F142">
        <f t="shared" si="17"/>
        <v>-2.5720530880900482E-16</v>
      </c>
      <c r="G142">
        <f t="shared" si="18"/>
        <v>1.394294928181823E-2</v>
      </c>
      <c r="H142">
        <f t="shared" si="19"/>
        <v>1.3942949281817973E-2</v>
      </c>
      <c r="I142">
        <f t="shared" si="20"/>
        <v>2.7885898563635946E-2</v>
      </c>
      <c r="T142">
        <f t="shared" si="21"/>
        <v>1.5943847201646428</v>
      </c>
      <c r="U142">
        <v>-4.0011465709798579E-16</v>
      </c>
      <c r="V142">
        <v>-3.2402508400446312E-16</v>
      </c>
      <c r="W142">
        <v>14</v>
      </c>
    </row>
    <row r="143" spans="1:23" x14ac:dyDescent="0.3">
      <c r="A143">
        <v>14.1</v>
      </c>
      <c r="B143">
        <v>14.1</v>
      </c>
      <c r="C143">
        <v>12.2</v>
      </c>
      <c r="D143">
        <f t="shared" si="22"/>
        <v>0.99930938874791764</v>
      </c>
      <c r="E143">
        <f t="shared" si="16"/>
        <v>0.68034349942350469</v>
      </c>
      <c r="F143">
        <f t="shared" si="17"/>
        <v>4.2768402749796909E-2</v>
      </c>
      <c r="G143">
        <f t="shared" si="18"/>
        <v>2.1675569085939931E-2</v>
      </c>
      <c r="H143">
        <f t="shared" si="19"/>
        <v>6.4443971835736844E-2</v>
      </c>
      <c r="I143">
        <f t="shared" si="20"/>
        <v>0.12888794367147369</v>
      </c>
      <c r="T143">
        <f t="shared" si="21"/>
        <v>1.6796528881714223</v>
      </c>
      <c r="U143">
        <v>-0.16649644413885006</v>
      </c>
      <c r="V143">
        <v>-0.13856133615982957</v>
      </c>
      <c r="W143">
        <v>14.1</v>
      </c>
    </row>
    <row r="144" spans="1:23" x14ac:dyDescent="0.3">
      <c r="A144">
        <v>14.2</v>
      </c>
      <c r="B144">
        <v>14.2</v>
      </c>
      <c r="C144">
        <v>12.3</v>
      </c>
      <c r="D144">
        <f t="shared" si="22"/>
        <v>0.99802665271636171</v>
      </c>
      <c r="E144">
        <f t="shared" si="16"/>
        <v>0.75011186702265531</v>
      </c>
      <c r="F144">
        <f t="shared" si="17"/>
        <v>6.7155538661385711E-2</v>
      </c>
      <c r="G144">
        <f t="shared" si="18"/>
        <v>2.0825657865387658E-2</v>
      </c>
      <c r="H144">
        <f t="shared" si="19"/>
        <v>8.7981196526773373E-2</v>
      </c>
      <c r="I144">
        <f t="shared" si="20"/>
        <v>0.17596239305354675</v>
      </c>
      <c r="T144">
        <f t="shared" si="21"/>
        <v>1.7481385197390171</v>
      </c>
      <c r="U144">
        <v>-0.28039120190615302</v>
      </c>
      <c r="V144">
        <v>-0.26087415496848143</v>
      </c>
      <c r="W144">
        <v>14.2</v>
      </c>
    </row>
    <row r="145" spans="1:23" x14ac:dyDescent="0.3">
      <c r="A145">
        <v>14.3</v>
      </c>
      <c r="B145">
        <v>14.3</v>
      </c>
      <c r="C145">
        <v>12.4</v>
      </c>
      <c r="D145">
        <f t="shared" si="22"/>
        <v>0.98677196427461333</v>
      </c>
      <c r="E145">
        <f t="shared" si="16"/>
        <v>0.81238536480053491</v>
      </c>
      <c r="F145">
        <f t="shared" si="17"/>
        <v>6.5170792546985976E-2</v>
      </c>
      <c r="G145">
        <f t="shared" si="18"/>
        <v>1.236628666615543E-2</v>
      </c>
      <c r="H145">
        <f t="shared" si="19"/>
        <v>7.7537079213141402E-2</v>
      </c>
      <c r="I145">
        <f t="shared" si="20"/>
        <v>0.1550741584262828</v>
      </c>
      <c r="T145">
        <f t="shared" si="21"/>
        <v>1.7991573290751481</v>
      </c>
      <c r="U145">
        <v>-0.29183418393267735</v>
      </c>
      <c r="V145">
        <v>-0.34402718128680343</v>
      </c>
      <c r="W145">
        <v>14.3</v>
      </c>
    </row>
    <row r="146" spans="1:23" x14ac:dyDescent="0.3">
      <c r="A146">
        <v>14.4</v>
      </c>
      <c r="B146">
        <v>14.4</v>
      </c>
      <c r="C146">
        <v>12.5</v>
      </c>
      <c r="D146">
        <f t="shared" si="22"/>
        <v>0.96565777654927742</v>
      </c>
      <c r="E146">
        <f t="shared" si="16"/>
        <v>0.86654177655222597</v>
      </c>
      <c r="F146">
        <f t="shared" si="17"/>
        <v>3.9087377017279296E-2</v>
      </c>
      <c r="G146">
        <f t="shared" si="18"/>
        <v>-9.9015992481581782E-18</v>
      </c>
      <c r="H146">
        <f t="shared" si="19"/>
        <v>3.9087377017279289E-2</v>
      </c>
      <c r="I146">
        <f t="shared" si="20"/>
        <v>7.8174754034558577E-2</v>
      </c>
      <c r="T146">
        <f t="shared" si="21"/>
        <v>1.8321995531015034</v>
      </c>
      <c r="U146">
        <v>-0.18772421656571511</v>
      </c>
      <c r="V146">
        <v>-0.37070599979607033</v>
      </c>
      <c r="W146">
        <v>14.4</v>
      </c>
    </row>
    <row r="147" spans="1:23" x14ac:dyDescent="0.3">
      <c r="A147">
        <v>14.5</v>
      </c>
      <c r="B147">
        <v>14.5</v>
      </c>
      <c r="C147">
        <v>12.6</v>
      </c>
      <c r="D147">
        <f t="shared" si="22"/>
        <v>0.93489505552468299</v>
      </c>
      <c r="E147">
        <f t="shared" si="16"/>
        <v>0.91203998931323349</v>
      </c>
      <c r="F147">
        <f t="shared" si="17"/>
        <v>1.3993594239619518E-20</v>
      </c>
      <c r="G147">
        <f t="shared" si="18"/>
        <v>-1.1415521365630977E-2</v>
      </c>
      <c r="H147">
        <f t="shared" si="19"/>
        <v>-1.1415521365630977E-2</v>
      </c>
      <c r="I147">
        <f t="shared" si="20"/>
        <v>-2.2831042731261953E-2</v>
      </c>
      <c r="T147">
        <f t="shared" si="21"/>
        <v>1.8469350448379165</v>
      </c>
      <c r="U147">
        <v>1.6289317393842928E-15</v>
      </c>
      <c r="V147">
        <v>-0.33264019932010591</v>
      </c>
      <c r="W147">
        <v>14.5</v>
      </c>
    </row>
    <row r="148" spans="1:23" x14ac:dyDescent="0.3">
      <c r="A148">
        <v>14.6</v>
      </c>
      <c r="B148">
        <v>14.6</v>
      </c>
      <c r="C148">
        <v>12.7</v>
      </c>
      <c r="D148">
        <f t="shared" si="22"/>
        <v>0.89479117214050419</v>
      </c>
      <c r="E148">
        <f t="shared" si="16"/>
        <v>0.94842539998136255</v>
      </c>
      <c r="F148">
        <f t="shared" si="17"/>
        <v>-3.681110538570901E-2</v>
      </c>
      <c r="G148">
        <f t="shared" si="18"/>
        <v>-1.7746455001125441E-2</v>
      </c>
      <c r="H148">
        <f t="shared" si="19"/>
        <v>-5.4557560386834451E-2</v>
      </c>
      <c r="I148">
        <f t="shared" si="20"/>
        <v>-0.1091151207736689</v>
      </c>
      <c r="T148">
        <f t="shared" si="21"/>
        <v>1.8432165721218667</v>
      </c>
      <c r="U148">
        <v>0.20335921609505311</v>
      </c>
      <c r="V148">
        <v>-0.23264387353842905</v>
      </c>
      <c r="W148">
        <v>14.6</v>
      </c>
    </row>
    <row r="149" spans="1:23" x14ac:dyDescent="0.3">
      <c r="A149">
        <v>14.7</v>
      </c>
      <c r="B149">
        <v>14.7</v>
      </c>
      <c r="C149">
        <v>12.8</v>
      </c>
      <c r="D149">
        <f t="shared" si="22"/>
        <v>0.84574683114293425</v>
      </c>
      <c r="E149">
        <f t="shared" si="16"/>
        <v>0.97533445756063208</v>
      </c>
      <c r="F149">
        <f t="shared" si="17"/>
        <v>-5.7801307786976119E-2</v>
      </c>
      <c r="G149">
        <f t="shared" si="18"/>
        <v>-1.7050606547473292E-2</v>
      </c>
      <c r="H149">
        <f t="shared" si="19"/>
        <v>-7.4851914334449404E-2</v>
      </c>
      <c r="I149">
        <f t="shared" si="20"/>
        <v>-0.14970382866889881</v>
      </c>
      <c r="T149">
        <f t="shared" si="21"/>
        <v>1.8210812887035663</v>
      </c>
      <c r="U149">
        <v>0.34247058737202074</v>
      </c>
      <c r="V149">
        <v>-8.4797037473411163E-2</v>
      </c>
      <c r="W149">
        <v>14.7</v>
      </c>
    </row>
    <row r="150" spans="1:23" x14ac:dyDescent="0.3">
      <c r="A150">
        <v>14.8</v>
      </c>
      <c r="B150">
        <v>14.8</v>
      </c>
      <c r="C150">
        <v>12.9</v>
      </c>
      <c r="D150">
        <f t="shared" si="22"/>
        <v>0.78825206737531628</v>
      </c>
      <c r="E150">
        <f t="shared" si="16"/>
        <v>0.99249829564266379</v>
      </c>
      <c r="F150">
        <f t="shared" si="17"/>
        <v>-5.6093020975133717E-2</v>
      </c>
      <c r="G150">
        <f t="shared" si="18"/>
        <v>-1.01246591949596E-2</v>
      </c>
      <c r="H150">
        <f t="shared" si="19"/>
        <v>-6.6217680170093315E-2</v>
      </c>
      <c r="I150">
        <f t="shared" si="20"/>
        <v>-0.13243536034018663</v>
      </c>
      <c r="T150">
        <f t="shared" si="21"/>
        <v>1.78075036301798</v>
      </c>
      <c r="U150">
        <v>0.3564470771807941</v>
      </c>
      <c r="V150">
        <v>8.7379491730304945E-2</v>
      </c>
      <c r="W150">
        <v>14.8</v>
      </c>
    </row>
    <row r="151" spans="1:23" x14ac:dyDescent="0.3">
      <c r="A151">
        <v>14.9</v>
      </c>
      <c r="B151">
        <v>14.9</v>
      </c>
      <c r="C151">
        <v>13</v>
      </c>
      <c r="D151">
        <f t="shared" si="22"/>
        <v>0.72288134951197602</v>
      </c>
      <c r="E151">
        <f t="shared" si="16"/>
        <v>0.99974541883095158</v>
      </c>
      <c r="F151">
        <f t="shared" si="17"/>
        <v>-3.3642817176305635E-2</v>
      </c>
      <c r="G151">
        <f t="shared" si="18"/>
        <v>6.4875482329034114E-17</v>
      </c>
      <c r="H151">
        <f t="shared" si="19"/>
        <v>-3.3642817176305573E-2</v>
      </c>
      <c r="I151">
        <f t="shared" si="20"/>
        <v>-6.7285634352611146E-2</v>
      </c>
      <c r="T151">
        <f t="shared" si="21"/>
        <v>1.7226267683429275</v>
      </c>
      <c r="U151">
        <v>0.22928687588682031</v>
      </c>
      <c r="V151">
        <v>0.25455294368731807</v>
      </c>
      <c r="W151">
        <v>14.9</v>
      </c>
    </row>
    <row r="152" spans="1:23" x14ac:dyDescent="0.3">
      <c r="A152">
        <v>15</v>
      </c>
      <c r="B152">
        <v>15</v>
      </c>
      <c r="C152">
        <v>13.1</v>
      </c>
      <c r="D152">
        <f t="shared" si="22"/>
        <v>0.65028784015711683</v>
      </c>
      <c r="E152">
        <f t="shared" si="16"/>
        <v>0.99700341626617861</v>
      </c>
      <c r="F152">
        <f t="shared" si="17"/>
        <v>-5.9882338875780008E-16</v>
      </c>
      <c r="G152">
        <f t="shared" si="18"/>
        <v>9.3462384044608812E-3</v>
      </c>
      <c r="H152">
        <f t="shared" si="19"/>
        <v>9.3462384044602827E-3</v>
      </c>
      <c r="I152">
        <f t="shared" si="20"/>
        <v>1.8692476808920565E-2</v>
      </c>
      <c r="T152">
        <f t="shared" si="21"/>
        <v>1.6472912564232955</v>
      </c>
      <c r="U152">
        <v>-4.9741743945586956E-16</v>
      </c>
      <c r="V152">
        <v>0.38647277407806074</v>
      </c>
      <c r="W152">
        <v>15</v>
      </c>
    </row>
    <row r="153" spans="1:23" x14ac:dyDescent="0.3">
      <c r="A153">
        <v>15.1</v>
      </c>
      <c r="B153">
        <v>15.1</v>
      </c>
      <c r="C153">
        <v>13.2</v>
      </c>
      <c r="D153">
        <f t="shared" si="22"/>
        <v>0.57119686965998862</v>
      </c>
      <c r="E153">
        <f t="shared" si="16"/>
        <v>0.9842996851315865</v>
      </c>
      <c r="F153">
        <f t="shared" si="17"/>
        <v>3.168361202650332E-2</v>
      </c>
      <c r="G153">
        <f t="shared" si="18"/>
        <v>1.4529568467535963E-2</v>
      </c>
      <c r="H153">
        <f t="shared" si="19"/>
        <v>4.6213180494039281E-2</v>
      </c>
      <c r="I153">
        <f t="shared" si="20"/>
        <v>9.2426360988078562E-2</v>
      </c>
      <c r="T153">
        <f t="shared" si="21"/>
        <v>1.5554965547915751</v>
      </c>
      <c r="U153">
        <v>-0.2483835074357866</v>
      </c>
      <c r="V153">
        <v>0.45733185864274084</v>
      </c>
      <c r="W153">
        <v>15.1</v>
      </c>
    </row>
    <row r="154" spans="1:23" x14ac:dyDescent="0.3">
      <c r="A154">
        <v>15.2</v>
      </c>
      <c r="B154">
        <v>15.2</v>
      </c>
      <c r="C154">
        <v>13.3</v>
      </c>
      <c r="D154">
        <f t="shared" si="22"/>
        <v>0.48639868885379967</v>
      </c>
      <c r="E154">
        <f t="shared" si="16"/>
        <v>0.96176115690937758</v>
      </c>
      <c r="F154">
        <f t="shared" si="17"/>
        <v>4.9750046660050194E-2</v>
      </c>
      <c r="G154">
        <f t="shared" si="18"/>
        <v>1.3959855939049172E-2</v>
      </c>
      <c r="H154">
        <f t="shared" si="19"/>
        <v>6.3709902599099366E-2</v>
      </c>
      <c r="I154">
        <f t="shared" si="20"/>
        <v>0.12741980519819873</v>
      </c>
      <c r="T154">
        <f t="shared" si="21"/>
        <v>1.4481598457631772</v>
      </c>
      <c r="U154">
        <v>-0.41829452000491912</v>
      </c>
      <c r="V154">
        <v>0.45066337757167496</v>
      </c>
      <c r="W154">
        <v>15.2</v>
      </c>
    </row>
    <row r="155" spans="1:23" x14ac:dyDescent="0.3">
      <c r="A155">
        <v>15.3</v>
      </c>
      <c r="B155">
        <v>15.3</v>
      </c>
      <c r="C155">
        <v>13.4</v>
      </c>
      <c r="D155">
        <f t="shared" si="22"/>
        <v>0.39674057313061206</v>
      </c>
      <c r="E155">
        <f t="shared" si="16"/>
        <v>0.92961302912329991</v>
      </c>
      <c r="F155">
        <f t="shared" si="17"/>
        <v>4.8279710575075636E-2</v>
      </c>
      <c r="G155">
        <f t="shared" si="18"/>
        <v>8.2893698473471469E-3</v>
      </c>
      <c r="H155">
        <f t="shared" si="19"/>
        <v>5.6569080422422785E-2</v>
      </c>
      <c r="I155">
        <f t="shared" si="20"/>
        <v>0.11313816084484557</v>
      </c>
      <c r="T155">
        <f t="shared" si="21"/>
        <v>1.326353602253912</v>
      </c>
      <c r="U155">
        <v>-0.43536544320675291</v>
      </c>
      <c r="V155">
        <v>0.36286763510107822</v>
      </c>
      <c r="W155">
        <v>15.3</v>
      </c>
    </row>
    <row r="156" spans="1:23" x14ac:dyDescent="0.3">
      <c r="A156">
        <v>15.4</v>
      </c>
      <c r="B156">
        <v>15.4</v>
      </c>
      <c r="C156">
        <v>13.5</v>
      </c>
      <c r="D156">
        <f t="shared" si="22"/>
        <v>0.30311835674570226</v>
      </c>
      <c r="E156">
        <f t="shared" si="16"/>
        <v>0.88817651523943431</v>
      </c>
      <c r="F156">
        <f t="shared" si="17"/>
        <v>2.8956641093056058E-2</v>
      </c>
      <c r="G156">
        <f t="shared" si="18"/>
        <v>9.2959562211513213E-17</v>
      </c>
      <c r="H156">
        <f t="shared" si="19"/>
        <v>2.8956641093056151E-2</v>
      </c>
      <c r="I156">
        <f t="shared" si="20"/>
        <v>5.7913282186112303E-2</v>
      </c>
      <c r="T156">
        <f t="shared" si="21"/>
        <v>1.1912948719851366</v>
      </c>
      <c r="U156">
        <v>-0.28005162261809097</v>
      </c>
      <c r="V156">
        <v>0.20465243228278401</v>
      </c>
      <c r="W156">
        <v>15.4</v>
      </c>
    </row>
    <row r="157" spans="1:23" x14ac:dyDescent="0.3">
      <c r="A157">
        <v>15.5</v>
      </c>
      <c r="B157">
        <v>15.5</v>
      </c>
      <c r="C157">
        <v>13.6</v>
      </c>
      <c r="D157">
        <f t="shared" si="22"/>
        <v>0.2064674819377966</v>
      </c>
      <c r="E157">
        <f t="shared" si="16"/>
        <v>0.83786563520741997</v>
      </c>
      <c r="F157">
        <f t="shared" si="17"/>
        <v>3.5142108824011438E-16</v>
      </c>
      <c r="G157">
        <f t="shared" si="18"/>
        <v>-7.6520528073306488E-3</v>
      </c>
      <c r="H157">
        <f t="shared" si="19"/>
        <v>-7.6520528073302976E-3</v>
      </c>
      <c r="I157">
        <f t="shared" si="20"/>
        <v>-1.5304105614660595E-2</v>
      </c>
      <c r="T157">
        <f t="shared" si="21"/>
        <v>1.0443331171452166</v>
      </c>
      <c r="U157">
        <v>5.4679232925753144E-16</v>
      </c>
      <c r="V157">
        <v>-3.8112936573650638E-16</v>
      </c>
      <c r="W157">
        <v>15.5</v>
      </c>
    </row>
    <row r="158" spans="1:23" x14ac:dyDescent="0.3">
      <c r="A158">
        <v>15.6</v>
      </c>
      <c r="B158">
        <v>15.6</v>
      </c>
      <c r="C158">
        <v>13.7</v>
      </c>
      <c r="D158">
        <f t="shared" si="22"/>
        <v>0.10775365229944406</v>
      </c>
      <c r="E158">
        <f t="shared" si="16"/>
        <v>0.77918307870996717</v>
      </c>
      <c r="F158">
        <f t="shared" si="17"/>
        <v>-2.7270337593168416E-2</v>
      </c>
      <c r="G158">
        <f t="shared" si="18"/>
        <v>-1.1895804533323772E-2</v>
      </c>
      <c r="H158">
        <f t="shared" si="19"/>
        <v>-3.9166142126492186E-2</v>
      </c>
      <c r="I158">
        <f t="shared" si="20"/>
        <v>-7.8332284252984372E-2</v>
      </c>
      <c r="T158">
        <f t="shared" si="21"/>
        <v>0.88693673100941117</v>
      </c>
      <c r="U158">
        <v>0.30337630106356667</v>
      </c>
      <c r="V158">
        <v>-0.21730743193726013</v>
      </c>
      <c r="W158">
        <v>15.6</v>
      </c>
    </row>
    <row r="159" spans="1:23" x14ac:dyDescent="0.3">
      <c r="A159">
        <v>15.7</v>
      </c>
      <c r="B159">
        <v>15.7</v>
      </c>
      <c r="C159">
        <v>13.8</v>
      </c>
      <c r="D159">
        <f t="shared" si="22"/>
        <v>7.9631837859373434E-3</v>
      </c>
      <c r="E159">
        <f t="shared" si="16"/>
        <v>0.71271518245372867</v>
      </c>
      <c r="F159">
        <f t="shared" si="17"/>
        <v>-4.2820261987823849E-2</v>
      </c>
      <c r="G159">
        <f t="shared" si="18"/>
        <v>-1.1429363365837853E-2</v>
      </c>
      <c r="H159">
        <f t="shared" si="19"/>
        <v>-5.42496253536617E-2</v>
      </c>
      <c r="I159">
        <f t="shared" si="20"/>
        <v>-0.1084992507073234</v>
      </c>
      <c r="T159">
        <f t="shared" si="21"/>
        <v>0.72067836623966597</v>
      </c>
      <c r="U159">
        <v>0.51090608045729247</v>
      </c>
      <c r="V159">
        <v>-0.40913211611652006</v>
      </c>
      <c r="W159">
        <v>15.7</v>
      </c>
    </row>
    <row r="160" spans="1:23" x14ac:dyDescent="0.3">
      <c r="A160">
        <v>15.8</v>
      </c>
      <c r="B160">
        <v>15.8</v>
      </c>
      <c r="C160">
        <v>13.9</v>
      </c>
      <c r="D160">
        <f t="shared" si="22"/>
        <v>-9.1906850227681636E-2</v>
      </c>
      <c r="E160">
        <f t="shared" si="16"/>
        <v>0.63912607168672664</v>
      </c>
      <c r="F160">
        <f t="shared" si="17"/>
        <v>-4.1554731991460758E-2</v>
      </c>
      <c r="G160">
        <f t="shared" si="18"/>
        <v>-6.7867620176605458E-3</v>
      </c>
      <c r="H160">
        <f t="shared" si="19"/>
        <v>-4.8341494009121307E-2</v>
      </c>
      <c r="I160">
        <f t="shared" si="20"/>
        <v>-9.6682988018242613E-2</v>
      </c>
      <c r="T160">
        <f t="shared" si="21"/>
        <v>0.547219221459045</v>
      </c>
      <c r="U160">
        <v>0.53175655314035275</v>
      </c>
      <c r="V160">
        <v>-0.53954202055192968</v>
      </c>
      <c r="W160">
        <v>15.8</v>
      </c>
    </row>
    <row r="161" spans="1:23" x14ac:dyDescent="0.3">
      <c r="A161">
        <v>15.9</v>
      </c>
      <c r="B161">
        <v>15.9</v>
      </c>
      <c r="C161">
        <v>14</v>
      </c>
      <c r="D161">
        <f t="shared" si="22"/>
        <v>-0.19085858137418937</v>
      </c>
      <c r="E161">
        <f t="shared" si="16"/>
        <v>0.55915102447842135</v>
      </c>
      <c r="F161">
        <f t="shared" si="17"/>
        <v>-2.4923211959271333E-2</v>
      </c>
      <c r="G161">
        <f t="shared" si="18"/>
        <v>-3.8055628957178343E-17</v>
      </c>
      <c r="H161">
        <f t="shared" si="19"/>
        <v>-2.4923211959271371E-2</v>
      </c>
      <c r="I161">
        <f t="shared" si="20"/>
        <v>-4.9846423918542743E-2</v>
      </c>
      <c r="T161">
        <f t="shared" si="21"/>
        <v>0.36829244310423198</v>
      </c>
      <c r="U161">
        <v>0.34205582429296738</v>
      </c>
      <c r="V161">
        <v>-0.58138273671449314</v>
      </c>
      <c r="W161">
        <v>15.9</v>
      </c>
    </row>
    <row r="162" spans="1:23" x14ac:dyDescent="0.3">
      <c r="A162">
        <v>16</v>
      </c>
      <c r="B162">
        <v>16</v>
      </c>
      <c r="C162">
        <v>14.1</v>
      </c>
      <c r="D162">
        <f t="shared" si="22"/>
        <v>-0.2879033166650653</v>
      </c>
      <c r="E162">
        <f t="shared" si="16"/>
        <v>0.47358912506428547</v>
      </c>
      <c r="F162">
        <f t="shared" si="17"/>
        <v>-1.6132259010233065E-16</v>
      </c>
      <c r="G162">
        <f t="shared" si="18"/>
        <v>6.264970957538335E-3</v>
      </c>
      <c r="H162">
        <f t="shared" si="19"/>
        <v>6.2649709575381737E-3</v>
      </c>
      <c r="I162">
        <f t="shared" si="20"/>
        <v>1.2529941915076347E-2</v>
      </c>
      <c r="T162">
        <f t="shared" si="21"/>
        <v>0.18568580839922016</v>
      </c>
      <c r="U162">
        <v>-5.9364769697419789E-16</v>
      </c>
      <c r="V162">
        <v>-0.52168367797760073</v>
      </c>
      <c r="W162">
        <v>16</v>
      </c>
    </row>
    <row r="163" spans="1:23" x14ac:dyDescent="0.3">
      <c r="A163">
        <v>16.100000000000001</v>
      </c>
      <c r="B163">
        <v>16.100000000000001</v>
      </c>
      <c r="C163">
        <v>14.2</v>
      </c>
      <c r="D163">
        <f t="shared" si="22"/>
        <v>-0.38207141718400911</v>
      </c>
      <c r="E163">
        <f t="shared" si="16"/>
        <v>0.38329527966025545</v>
      </c>
      <c r="F163">
        <f t="shared" si="17"/>
        <v>2.3471797086244271E-2</v>
      </c>
      <c r="G163">
        <f t="shared" si="18"/>
        <v>9.7394610040366612E-3</v>
      </c>
      <c r="H163">
        <f t="shared" si="19"/>
        <v>3.3211258090280929E-2</v>
      </c>
      <c r="I163">
        <f t="shared" si="20"/>
        <v>6.6422516180561858E-2</v>
      </c>
      <c r="T163">
        <f t="shared" si="21"/>
        <v>1.2238624762463401E-3</v>
      </c>
      <c r="U163">
        <v>-0.37054465087947225</v>
      </c>
      <c r="V163">
        <v>-0.36485822174995225</v>
      </c>
      <c r="W163">
        <v>16.100000000000001</v>
      </c>
    </row>
    <row r="164" spans="1:23" x14ac:dyDescent="0.3">
      <c r="A164">
        <v>16.2</v>
      </c>
      <c r="B164">
        <v>16.2</v>
      </c>
      <c r="C164">
        <v>14.3</v>
      </c>
      <c r="D164">
        <f t="shared" si="22"/>
        <v>-0.47242198639846616</v>
      </c>
      <c r="E164">
        <f t="shared" si="16"/>
        <v>0.28917167452243764</v>
      </c>
      <c r="F164">
        <f t="shared" si="17"/>
        <v>3.6855741045530743E-2</v>
      </c>
      <c r="G164">
        <f t="shared" si="18"/>
        <v>9.3575712757143093E-3</v>
      </c>
      <c r="H164">
        <f t="shared" si="19"/>
        <v>4.6213312321245051E-2</v>
      </c>
      <c r="I164">
        <f t="shared" si="20"/>
        <v>9.2426624642490102E-2</v>
      </c>
      <c r="T164">
        <f t="shared" si="21"/>
        <v>-0.18325031187602853</v>
      </c>
      <c r="U164">
        <v>-0.62402209583133861</v>
      </c>
      <c r="V164">
        <v>-0.13298822716301847</v>
      </c>
      <c r="W164">
        <v>16.2</v>
      </c>
    </row>
    <row r="165" spans="1:23" x14ac:dyDescent="0.3">
      <c r="A165">
        <v>16.3</v>
      </c>
      <c r="B165">
        <v>16.3</v>
      </c>
      <c r="C165">
        <v>14.4</v>
      </c>
      <c r="D165">
        <f t="shared" si="22"/>
        <v>-0.55805227128677937</v>
      </c>
      <c r="E165">
        <f t="shared" si="16"/>
        <v>0.19215876160023521</v>
      </c>
      <c r="F165">
        <f t="shared" si="17"/>
        <v>3.5766489283255778E-2</v>
      </c>
      <c r="G165">
        <f t="shared" si="18"/>
        <v>5.5565307776802349E-3</v>
      </c>
      <c r="H165">
        <f t="shared" si="19"/>
        <v>4.1323020060936015E-2</v>
      </c>
      <c r="I165">
        <f t="shared" si="20"/>
        <v>8.264604012187203E-2</v>
      </c>
      <c r="T165">
        <f t="shared" si="21"/>
        <v>-0.36589350968654416</v>
      </c>
      <c r="U165">
        <v>-0.64948892067537167</v>
      </c>
      <c r="V165">
        <v>0.1370383216425734</v>
      </c>
      <c r="W165">
        <v>16.3</v>
      </c>
    </row>
    <row r="166" spans="1:23" x14ac:dyDescent="0.3">
      <c r="A166">
        <v>16.399999999999999</v>
      </c>
      <c r="B166">
        <v>16.399999999999999</v>
      </c>
      <c r="C166">
        <v>14.5</v>
      </c>
      <c r="D166">
        <f t="shared" si="22"/>
        <v>-0.63810668234794743</v>
      </c>
      <c r="E166">
        <f t="shared" si="16"/>
        <v>9.3225861851368219E-2</v>
      </c>
      <c r="F166">
        <f t="shared" si="17"/>
        <v>2.1451607331477558E-2</v>
      </c>
      <c r="G166">
        <f t="shared" si="18"/>
        <v>1.9694888593531525E-21</v>
      </c>
      <c r="H166">
        <f t="shared" si="19"/>
        <v>2.1451607331477558E-2</v>
      </c>
      <c r="I166">
        <f t="shared" si="20"/>
        <v>4.2903214662955116E-2</v>
      </c>
      <c r="T166">
        <f t="shared" si="21"/>
        <v>-0.54488082049657915</v>
      </c>
      <c r="U166">
        <v>-0.41778792723618285</v>
      </c>
      <c r="V166">
        <v>0.39921848343721145</v>
      </c>
      <c r="W166">
        <v>16.399999999999999</v>
      </c>
    </row>
    <row r="167" spans="1:23" x14ac:dyDescent="0.3">
      <c r="A167">
        <v>16.5</v>
      </c>
      <c r="B167">
        <v>16.5</v>
      </c>
      <c r="C167">
        <v>14.6</v>
      </c>
      <c r="D167">
        <f t="shared" si="22"/>
        <v>-0.71178534236912305</v>
      </c>
      <c r="E167">
        <f t="shared" si="16"/>
        <v>-6.6385198927483638E-3</v>
      </c>
      <c r="F167">
        <f t="shared" si="17"/>
        <v>1.7364134857177733E-17</v>
      </c>
      <c r="G167">
        <f t="shared" si="18"/>
        <v>-5.1293243900769735E-3</v>
      </c>
      <c r="H167">
        <f t="shared" si="19"/>
        <v>-5.1293243900769562E-3</v>
      </c>
      <c r="I167">
        <f t="shared" si="20"/>
        <v>-1.0258648780153912E-2</v>
      </c>
      <c r="T167">
        <f t="shared" si="21"/>
        <v>-0.71842386226187138</v>
      </c>
      <c r="U167">
        <v>6.3444756765225314E-16</v>
      </c>
      <c r="V167">
        <v>0.60610996094681224</v>
      </c>
      <c r="W167">
        <v>16.5</v>
      </c>
    </row>
    <row r="168" spans="1:23" x14ac:dyDescent="0.3">
      <c r="A168">
        <v>16.600000000000001</v>
      </c>
      <c r="B168">
        <v>16.600000000000001</v>
      </c>
      <c r="C168">
        <v>14.7</v>
      </c>
      <c r="D168">
        <f t="shared" si="22"/>
        <v>-0.77835207853429844</v>
      </c>
      <c r="E168">
        <f t="shared" si="16"/>
        <v>-0.10643657174049953</v>
      </c>
      <c r="F168">
        <f t="shared" si="17"/>
        <v>-2.020236297316096E-2</v>
      </c>
      <c r="G168">
        <f t="shared" si="18"/>
        <v>-7.9739962424085816E-3</v>
      </c>
      <c r="H168">
        <f t="shared" si="19"/>
        <v>-2.8176359215569539E-2</v>
      </c>
      <c r="I168">
        <f t="shared" si="20"/>
        <v>-5.6352718431139079E-2</v>
      </c>
      <c r="T168">
        <f t="shared" si="21"/>
        <v>-0.88478865027479792</v>
      </c>
      <c r="U168">
        <v>0.45258425860568458</v>
      </c>
      <c r="V168">
        <v>0.71723912672227785</v>
      </c>
      <c r="W168">
        <v>16.600000000000001</v>
      </c>
    </row>
    <row r="169" spans="1:23" x14ac:dyDescent="0.3">
      <c r="A169">
        <v>16.7</v>
      </c>
      <c r="B169">
        <v>16.7</v>
      </c>
      <c r="C169">
        <v>14.8</v>
      </c>
      <c r="D169">
        <f t="shared" si="22"/>
        <v>-0.83714177801974676</v>
      </c>
      <c r="E169">
        <f t="shared" si="16"/>
        <v>-0.20517114454666899</v>
      </c>
      <c r="F169">
        <f t="shared" si="17"/>
        <v>-3.1722030294944734E-2</v>
      </c>
      <c r="G169">
        <f t="shared" si="18"/>
        <v>-7.6613313775464919E-3</v>
      </c>
      <c r="H169">
        <f t="shared" si="19"/>
        <v>-3.9383361672491228E-2</v>
      </c>
      <c r="I169">
        <f t="shared" si="20"/>
        <v>-7.8766723344982456E-2</v>
      </c>
      <c r="T169">
        <f t="shared" si="21"/>
        <v>-1.0423129225664158</v>
      </c>
      <c r="U169">
        <v>0.76218230900128681</v>
      </c>
      <c r="V169">
        <v>0.70678086659981476</v>
      </c>
      <c r="W169">
        <v>16.7</v>
      </c>
    </row>
    <row r="170" spans="1:23" x14ac:dyDescent="0.3">
      <c r="A170">
        <v>16.8</v>
      </c>
      <c r="B170">
        <v>16.8</v>
      </c>
      <c r="C170">
        <v>14.9</v>
      </c>
      <c r="D170">
        <f t="shared" si="22"/>
        <v>-0.88756703358150457</v>
      </c>
      <c r="E170">
        <f t="shared" si="16"/>
        <v>-0.30185571509709508</v>
      </c>
      <c r="F170">
        <f t="shared" si="17"/>
        <v>-3.0784502614819693E-2</v>
      </c>
      <c r="G170">
        <f t="shared" si="18"/>
        <v>-4.5493026281111003E-3</v>
      </c>
      <c r="H170">
        <f t="shared" si="19"/>
        <v>-3.5333805242930796E-2</v>
      </c>
      <c r="I170">
        <f t="shared" si="20"/>
        <v>-7.0667610485861593E-2</v>
      </c>
      <c r="T170">
        <f t="shared" si="21"/>
        <v>-1.1894227486785995</v>
      </c>
      <c r="U170">
        <v>0.79328755910737081</v>
      </c>
      <c r="V170">
        <v>0.5690897338490204</v>
      </c>
      <c r="W170">
        <v>16.8</v>
      </c>
    </row>
    <row r="171" spans="1:23" x14ac:dyDescent="0.3">
      <c r="A171">
        <v>16.899999999999999</v>
      </c>
      <c r="B171">
        <v>16.899999999999999</v>
      </c>
      <c r="C171">
        <v>15</v>
      </c>
      <c r="D171">
        <f t="shared" si="22"/>
        <v>-0.9291240127343684</v>
      </c>
      <c r="E171">
        <f t="shared" si="16"/>
        <v>-0.3955242431225009</v>
      </c>
      <c r="F171">
        <f t="shared" si="17"/>
        <v>-1.846356953734089E-2</v>
      </c>
      <c r="G171">
        <f t="shared" si="18"/>
        <v>-8.0169335180492041E-17</v>
      </c>
      <c r="H171">
        <f t="shared" si="19"/>
        <v>-1.8463569537340969E-2</v>
      </c>
      <c r="I171">
        <f t="shared" si="20"/>
        <v>-3.6927139074681939E-2</v>
      </c>
      <c r="T171">
        <f t="shared" si="21"/>
        <v>-1.3246482558568693</v>
      </c>
      <c r="U171">
        <v>0.51028732665229404</v>
      </c>
      <c r="V171">
        <v>0.32095890333929322</v>
      </c>
      <c r="W171">
        <v>16.899999999999999</v>
      </c>
    </row>
    <row r="172" spans="1:23" x14ac:dyDescent="0.3">
      <c r="A172">
        <v>17</v>
      </c>
      <c r="B172">
        <v>17</v>
      </c>
      <c r="C172">
        <v>15.1</v>
      </c>
      <c r="D172">
        <f t="shared" si="22"/>
        <v>-0.96139749187955681</v>
      </c>
      <c r="E172">
        <f t="shared" si="16"/>
        <v>-0.48524082365356214</v>
      </c>
      <c r="F172">
        <f t="shared" si="17"/>
        <v>8.9619815404788183E-17</v>
      </c>
      <c r="G172">
        <f t="shared" si="18"/>
        <v>4.1995356206689996E-3</v>
      </c>
      <c r="H172">
        <f t="shared" si="19"/>
        <v>4.1995356206690889E-3</v>
      </c>
      <c r="I172">
        <f t="shared" si="20"/>
        <v>8.3990712413381779E-3</v>
      </c>
      <c r="T172">
        <f t="shared" si="21"/>
        <v>-1.4466383155331188</v>
      </c>
      <c r="U172">
        <v>-6.6421372203297681E-16</v>
      </c>
      <c r="V172">
        <v>-3.9848655235513474E-16</v>
      </c>
      <c r="W172">
        <v>17</v>
      </c>
    </row>
    <row r="173" spans="1:23" x14ac:dyDescent="0.3">
      <c r="A173">
        <v>17.100000000000001</v>
      </c>
      <c r="B173">
        <v>17.100000000000001</v>
      </c>
      <c r="C173">
        <v>15.2</v>
      </c>
      <c r="D173">
        <f t="shared" si="22"/>
        <v>-0.98406500508164341</v>
      </c>
      <c r="E173">
        <f t="shared" si="16"/>
        <v>-0.57010903827396753</v>
      </c>
      <c r="F173">
        <f t="shared" si="17"/>
        <v>1.7388334953633979E-2</v>
      </c>
      <c r="G173">
        <f t="shared" si="18"/>
        <v>6.5285559485881821E-3</v>
      </c>
      <c r="H173">
        <f t="shared" si="19"/>
        <v>2.3916890902222161E-2</v>
      </c>
      <c r="I173">
        <f t="shared" si="20"/>
        <v>4.7833781804444322E-2</v>
      </c>
      <c r="T173">
        <f t="shared" si="21"/>
        <v>-1.5541740433556108</v>
      </c>
      <c r="U173">
        <v>-0.5527876617608587</v>
      </c>
      <c r="V173">
        <v>-0.3408058935047818</v>
      </c>
      <c r="W173">
        <v>17.100000000000001</v>
      </c>
    </row>
    <row r="174" spans="1:23" x14ac:dyDescent="0.3">
      <c r="A174">
        <v>17.2</v>
      </c>
      <c r="B174">
        <v>17.2</v>
      </c>
      <c r="C174">
        <v>15.3</v>
      </c>
      <c r="D174">
        <f t="shared" si="22"/>
        <v>-0.99690006604159609</v>
      </c>
      <c r="E174">
        <f t="shared" si="16"/>
        <v>-0.64928091183692915</v>
      </c>
      <c r="F174">
        <f t="shared" si="17"/>
        <v>2.7303404503256308E-2</v>
      </c>
      <c r="G174">
        <f t="shared" si="18"/>
        <v>6.2725676083186044E-3</v>
      </c>
      <c r="H174">
        <f t="shared" si="19"/>
        <v>3.3575972111574912E-2</v>
      </c>
      <c r="I174">
        <f t="shared" si="20"/>
        <v>6.7151944223149823E-2</v>
      </c>
      <c r="T174">
        <f t="shared" si="21"/>
        <v>-1.6461809778785252</v>
      </c>
      <c r="U174">
        <v>-0.93093157443505858</v>
      </c>
      <c r="V174">
        <v>-0.64164688318091589</v>
      </c>
      <c r="W174">
        <v>17.2</v>
      </c>
    </row>
    <row r="175" spans="1:23" x14ac:dyDescent="0.3">
      <c r="A175">
        <v>17.3</v>
      </c>
      <c r="B175">
        <v>17.3</v>
      </c>
      <c r="C175">
        <v>15.4</v>
      </c>
      <c r="D175">
        <f t="shared" si="22"/>
        <v>-0.99977443107301112</v>
      </c>
      <c r="E175">
        <f t="shared" si="16"/>
        <v>-0.72196538515255348</v>
      </c>
      <c r="F175">
        <f t="shared" si="17"/>
        <v>2.6496466950853319E-2</v>
      </c>
      <c r="G175">
        <f t="shared" si="18"/>
        <v>3.7246539666930287E-3</v>
      </c>
      <c r="H175">
        <f t="shared" si="19"/>
        <v>3.0221120917546349E-2</v>
      </c>
      <c r="I175">
        <f t="shared" si="20"/>
        <v>6.0442241835092697E-2</v>
      </c>
      <c r="T175">
        <f t="shared" si="21"/>
        <v>-1.7217398162255646</v>
      </c>
      <c r="U175">
        <v>-0.96892361270789162</v>
      </c>
      <c r="V175">
        <v>-0.84617032541557835</v>
      </c>
      <c r="W175">
        <v>17.3</v>
      </c>
    </row>
    <row r="176" spans="1:23" x14ac:dyDescent="0.3">
      <c r="A176">
        <v>17.399999999999999</v>
      </c>
      <c r="B176">
        <v>17.399999999999999</v>
      </c>
      <c r="C176">
        <v>15.5</v>
      </c>
      <c r="D176">
        <f t="shared" si="22"/>
        <v>-0.99265938047063318</v>
      </c>
      <c r="E176">
        <f t="shared" si="16"/>
        <v>-0.78743621898975824</v>
      </c>
      <c r="F176">
        <f t="shared" si="17"/>
        <v>1.589174157406794E-2</v>
      </c>
      <c r="G176">
        <f t="shared" si="18"/>
        <v>4.4753048363371985E-17</v>
      </c>
      <c r="H176">
        <f t="shared" si="19"/>
        <v>1.5891741574067985E-2</v>
      </c>
      <c r="I176">
        <f t="shared" si="20"/>
        <v>3.178348314813597E-2</v>
      </c>
      <c r="T176">
        <f t="shared" si="21"/>
        <v>-1.7800955994603913</v>
      </c>
      <c r="U176">
        <v>-0.62326634822729166</v>
      </c>
      <c r="V176">
        <v>-0.91178963042296191</v>
      </c>
      <c r="W176">
        <v>17.399999999999999</v>
      </c>
    </row>
    <row r="177" spans="1:23" x14ac:dyDescent="0.3">
      <c r="A177">
        <v>17.5</v>
      </c>
      <c r="B177">
        <v>17.5</v>
      </c>
      <c r="C177">
        <v>15.6</v>
      </c>
      <c r="D177">
        <f t="shared" si="22"/>
        <v>-0.97562600546815759</v>
      </c>
      <c r="E177">
        <f t="shared" si="16"/>
        <v>-0.84503925041862682</v>
      </c>
      <c r="F177">
        <f t="shared" si="17"/>
        <v>2.0572196051272356E-16</v>
      </c>
      <c r="G177">
        <f t="shared" si="18"/>
        <v>-3.4382889612881557E-3</v>
      </c>
      <c r="H177">
        <f t="shared" si="19"/>
        <v>-3.4382889612879501E-3</v>
      </c>
      <c r="I177">
        <f t="shared" si="20"/>
        <v>-6.8765779225759003E-3</v>
      </c>
      <c r="T177">
        <f t="shared" si="21"/>
        <v>-1.8206652558867844</v>
      </c>
      <c r="U177">
        <v>6.7606039341575876E-16</v>
      </c>
      <c r="V177">
        <v>-0.81816286914360126</v>
      </c>
      <c r="W177">
        <v>17.5</v>
      </c>
    </row>
    <row r="178" spans="1:23" x14ac:dyDescent="0.3">
      <c r="A178">
        <v>17.600000000000001</v>
      </c>
      <c r="B178">
        <v>17.600000000000001</v>
      </c>
      <c r="C178">
        <v>15.7</v>
      </c>
      <c r="D178">
        <f t="shared" si="22"/>
        <v>-0.94884449791812397</v>
      </c>
      <c r="E178">
        <f t="shared" si="16"/>
        <v>-0.8941989289901503</v>
      </c>
      <c r="F178">
        <f t="shared" si="17"/>
        <v>-1.4966278591343467E-2</v>
      </c>
      <c r="G178">
        <f t="shared" si="18"/>
        <v>-5.3451295282993198E-3</v>
      </c>
      <c r="H178">
        <f t="shared" si="19"/>
        <v>-2.0311408119642785E-2</v>
      </c>
      <c r="I178">
        <f t="shared" si="20"/>
        <v>-4.062281623928557E-2</v>
      </c>
      <c r="T178">
        <f t="shared" si="21"/>
        <v>-1.8430434269082743</v>
      </c>
      <c r="U178">
        <v>0.67517637475162373</v>
      </c>
      <c r="V178">
        <v>-0.57221159514672448</v>
      </c>
      <c r="W178">
        <v>17.600000000000001</v>
      </c>
    </row>
    <row r="179" spans="1:23" x14ac:dyDescent="0.3">
      <c r="A179">
        <v>17.7</v>
      </c>
      <c r="B179">
        <v>17.7</v>
      </c>
      <c r="C179">
        <v>15.8</v>
      </c>
      <c r="D179">
        <f t="shared" si="22"/>
        <v>-0.91258244979118452</v>
      </c>
      <c r="E179">
        <f t="shared" si="16"/>
        <v>-0.93442406744606998</v>
      </c>
      <c r="F179">
        <f t="shared" si="17"/>
        <v>-2.3500258039512459E-2</v>
      </c>
      <c r="G179">
        <f t="shared" si="18"/>
        <v>-5.1355440016912441E-3</v>
      </c>
      <c r="H179">
        <f t="shared" si="19"/>
        <v>-2.8635802041203702E-2</v>
      </c>
      <c r="I179">
        <f t="shared" si="20"/>
        <v>-5.7271604082407404E-2</v>
      </c>
      <c r="T179">
        <f t="shared" si="21"/>
        <v>-1.8470065172372545</v>
      </c>
      <c r="U179">
        <v>1.1370423926733706</v>
      </c>
      <c r="V179">
        <v>-0.20856705718649676</v>
      </c>
      <c r="W179">
        <v>17.7</v>
      </c>
    </row>
    <row r="180" spans="1:23" x14ac:dyDescent="0.3">
      <c r="A180">
        <v>17.8</v>
      </c>
      <c r="B180">
        <v>17.8</v>
      </c>
      <c r="C180">
        <v>15.9</v>
      </c>
      <c r="D180">
        <f t="shared" si="22"/>
        <v>-0.86720217948558131</v>
      </c>
      <c r="E180">
        <f t="shared" si="16"/>
        <v>-0.9653127494996</v>
      </c>
      <c r="F180">
        <f t="shared" si="17"/>
        <v>-2.280572045168237E-2</v>
      </c>
      <c r="G180">
        <f t="shared" si="18"/>
        <v>-3.0494887471055197E-3</v>
      </c>
      <c r="H180">
        <f t="shared" si="19"/>
        <v>-2.5855209198787889E-2</v>
      </c>
      <c r="I180">
        <f t="shared" si="20"/>
        <v>-5.1710418397575779E-2</v>
      </c>
      <c r="T180">
        <f t="shared" si="21"/>
        <v>-1.8325149289851814</v>
      </c>
      <c r="U180">
        <v>1.1834459730079359</v>
      </c>
      <c r="V180">
        <v>0.21491886971116872</v>
      </c>
      <c r="W180">
        <v>17.8</v>
      </c>
    </row>
    <row r="181" spans="1:23" x14ac:dyDescent="0.3">
      <c r="A181">
        <v>17.899999999999999</v>
      </c>
      <c r="B181">
        <v>17.899999999999999</v>
      </c>
      <c r="C181">
        <v>16</v>
      </c>
      <c r="D181">
        <f t="shared" si="22"/>
        <v>-0.81315711166148852</v>
      </c>
      <c r="E181">
        <f t="shared" si="16"/>
        <v>-0.9865563456501002</v>
      </c>
      <c r="F181">
        <f t="shared" si="17"/>
        <v>-1.3678148732085921E-2</v>
      </c>
      <c r="G181">
        <f t="shared" si="18"/>
        <v>-1.954228152932376E-17</v>
      </c>
      <c r="H181">
        <f t="shared" si="19"/>
        <v>-1.367814873208594E-2</v>
      </c>
      <c r="I181">
        <f t="shared" si="20"/>
        <v>-2.735629746417188E-2</v>
      </c>
      <c r="T181">
        <f t="shared" si="21"/>
        <v>-1.7997134573115887</v>
      </c>
      <c r="U181">
        <v>0.76125923679323115</v>
      </c>
      <c r="V181">
        <v>0.62609921224748366</v>
      </c>
      <c r="W181">
        <v>17.899999999999999</v>
      </c>
    </row>
    <row r="182" spans="1:23" x14ac:dyDescent="0.3">
      <c r="A182">
        <v>18</v>
      </c>
      <c r="B182">
        <v>18</v>
      </c>
      <c r="C182">
        <v>16.100000000000001</v>
      </c>
      <c r="D182">
        <f t="shared" si="22"/>
        <v>-0.75098724677167605</v>
      </c>
      <c r="E182">
        <f t="shared" si="16"/>
        <v>-0.99794259690703546</v>
      </c>
      <c r="F182">
        <f t="shared" si="17"/>
        <v>-9.9602678939609367E-17</v>
      </c>
      <c r="G182">
        <f t="shared" si="18"/>
        <v>2.8150329105751737E-3</v>
      </c>
      <c r="H182">
        <f t="shared" si="19"/>
        <v>2.815032910575074E-3</v>
      </c>
      <c r="I182">
        <f t="shared" si="20"/>
        <v>5.6300658211501479E-3</v>
      </c>
      <c r="T182">
        <f t="shared" si="21"/>
        <v>-1.7489298436787115</v>
      </c>
      <c r="U182">
        <v>-6.605936233606857E-16</v>
      </c>
      <c r="V182">
        <v>0.95056963749985579</v>
      </c>
      <c r="W182">
        <v>18</v>
      </c>
    </row>
    <row r="183" spans="1:23" x14ac:dyDescent="0.3">
      <c r="A183">
        <v>18.100000000000001</v>
      </c>
      <c r="B183">
        <v>18.100000000000001</v>
      </c>
      <c r="C183">
        <v>16.2</v>
      </c>
      <c r="D183">
        <f t="shared" si="22"/>
        <v>-0.68131376555549994</v>
      </c>
      <c r="E183">
        <f t="shared" si="16"/>
        <v>-0.99935773561163976</v>
      </c>
      <c r="F183">
        <f t="shared" si="17"/>
        <v>1.2881595360968704E-2</v>
      </c>
      <c r="G183">
        <f t="shared" si="18"/>
        <v>4.3762219240038643E-3</v>
      </c>
      <c r="H183">
        <f t="shared" si="19"/>
        <v>1.7257817284972568E-2</v>
      </c>
      <c r="I183">
        <f t="shared" si="20"/>
        <v>3.4515634569945136E-2</v>
      </c>
      <c r="T183">
        <f t="shared" si="21"/>
        <v>-1.6806715011671396</v>
      </c>
      <c r="U183">
        <v>-0.82466228636621741</v>
      </c>
      <c r="V183">
        <v>1.1248548623488759</v>
      </c>
      <c r="W183">
        <v>18.100000000000001</v>
      </c>
    </row>
    <row r="184" spans="1:23" x14ac:dyDescent="0.3">
      <c r="A184">
        <v>18.2</v>
      </c>
      <c r="B184">
        <v>18.2</v>
      </c>
      <c r="C184">
        <v>16.3</v>
      </c>
      <c r="D184">
        <f t="shared" si="22"/>
        <v>-0.60483282240628411</v>
      </c>
      <c r="E184">
        <f t="shared" si="16"/>
        <v>-0.99078762216575988</v>
      </c>
      <c r="F184">
        <f t="shared" si="17"/>
        <v>2.0226859542655476E-2</v>
      </c>
      <c r="G184">
        <f t="shared" si="18"/>
        <v>4.2046278079697803E-3</v>
      </c>
      <c r="H184">
        <f t="shared" si="19"/>
        <v>2.4431487350625256E-2</v>
      </c>
      <c r="I184">
        <f t="shared" si="20"/>
        <v>4.8862974701250513E-2</v>
      </c>
      <c r="T184">
        <f t="shared" si="21"/>
        <v>-1.5956204445720439</v>
      </c>
      <c r="U184">
        <v>-1.3887867145562929</v>
      </c>
      <c r="V184">
        <v>1.108453045559791</v>
      </c>
      <c r="W184">
        <v>18.2</v>
      </c>
    </row>
    <row r="185" spans="1:23" x14ac:dyDescent="0.3">
      <c r="A185">
        <v>18.3</v>
      </c>
      <c r="B185">
        <v>18.3</v>
      </c>
      <c r="C185">
        <v>16.399999999999999</v>
      </c>
      <c r="D185">
        <f t="shared" si="22"/>
        <v>-0.52230858962673155</v>
      </c>
      <c r="E185">
        <f t="shared" si="16"/>
        <v>-0.97231788631004368</v>
      </c>
      <c r="F185">
        <f t="shared" si="17"/>
        <v>1.9629065500883058E-2</v>
      </c>
      <c r="G185">
        <f t="shared" si="18"/>
        <v>2.4967102184205725E-3</v>
      </c>
      <c r="H185">
        <f t="shared" si="19"/>
        <v>2.2125775719303631E-2</v>
      </c>
      <c r="I185">
        <f t="shared" si="20"/>
        <v>4.4251551438607262E-2</v>
      </c>
      <c r="T185">
        <f t="shared" si="21"/>
        <v>-1.4946264759367751</v>
      </c>
      <c r="U185">
        <v>-1.4454641755654378</v>
      </c>
      <c r="V185">
        <v>0.89251036423277641</v>
      </c>
      <c r="W185">
        <v>18.3</v>
      </c>
    </row>
    <row r="186" spans="1:23" x14ac:dyDescent="0.3">
      <c r="A186">
        <v>18.399999999999999</v>
      </c>
      <c r="B186">
        <v>18.399999999999999</v>
      </c>
      <c r="C186">
        <v>16.5</v>
      </c>
      <c r="D186">
        <f t="shared" si="22"/>
        <v>-0.43456562207189675</v>
      </c>
      <c r="E186">
        <f t="shared" si="16"/>
        <v>-0.9441330715398798</v>
      </c>
      <c r="F186">
        <f t="shared" si="17"/>
        <v>1.1772891716434811E-2</v>
      </c>
      <c r="G186">
        <f t="shared" si="18"/>
        <v>2.0008683075596604E-18</v>
      </c>
      <c r="H186">
        <f t="shared" si="19"/>
        <v>1.1772891716434813E-2</v>
      </c>
      <c r="I186">
        <f t="shared" si="20"/>
        <v>2.3545783432869626E-2</v>
      </c>
      <c r="T186">
        <f t="shared" si="21"/>
        <v>-1.3786986936117764</v>
      </c>
      <c r="U186">
        <v>-0.92980413149415853</v>
      </c>
      <c r="V186">
        <v>0.50336375914857401</v>
      </c>
      <c r="W186">
        <v>18.399999999999999</v>
      </c>
    </row>
    <row r="187" spans="1:23" x14ac:dyDescent="0.3">
      <c r="A187">
        <v>18.5</v>
      </c>
      <c r="B187">
        <v>18.5</v>
      </c>
      <c r="C187">
        <v>16.600000000000001</v>
      </c>
      <c r="D187">
        <f t="shared" si="22"/>
        <v>-0.34248061846961253</v>
      </c>
      <c r="E187">
        <f t="shared" si="16"/>
        <v>-0.90651479120778855</v>
      </c>
      <c r="F187">
        <f t="shared" si="17"/>
        <v>1.905506373106124E-17</v>
      </c>
      <c r="G187">
        <f t="shared" si="18"/>
        <v>-2.3047540148145276E-3</v>
      </c>
      <c r="H187">
        <f t="shared" si="19"/>
        <v>-2.3047540148145086E-3</v>
      </c>
      <c r="I187">
        <f t="shared" si="20"/>
        <v>-4.6095080296290171E-3</v>
      </c>
      <c r="T187">
        <f t="shared" si="21"/>
        <v>-1.2489954096774012</v>
      </c>
      <c r="U187">
        <v>6.0513815519682143E-16</v>
      </c>
      <c r="V187">
        <v>-3.1247565790626193E-16</v>
      </c>
      <c r="W187">
        <v>18.5</v>
      </c>
    </row>
    <row r="188" spans="1:23" x14ac:dyDescent="0.3">
      <c r="A188">
        <v>18.600000000000001</v>
      </c>
      <c r="B188">
        <v>18.600000000000001</v>
      </c>
      <c r="C188">
        <v>16.7</v>
      </c>
      <c r="D188">
        <f t="shared" si="22"/>
        <v>-0.24697366173662089</v>
      </c>
      <c r="E188">
        <f t="shared" si="16"/>
        <v>-0.8598389147358988</v>
      </c>
      <c r="F188">
        <f t="shared" si="17"/>
        <v>-1.1087291876265842E-2</v>
      </c>
      <c r="G188">
        <f t="shared" si="18"/>
        <v>-3.5829474714760647E-3</v>
      </c>
      <c r="H188">
        <f t="shared" si="19"/>
        <v>-1.4670239347741906E-2</v>
      </c>
      <c r="I188">
        <f t="shared" si="20"/>
        <v>-2.9340478695483813E-2</v>
      </c>
      <c r="T188">
        <f t="shared" si="21"/>
        <v>-1.1068125764725196</v>
      </c>
      <c r="U188">
        <v>1.0072447911183695</v>
      </c>
      <c r="V188">
        <v>-0.53449003567041264</v>
      </c>
      <c r="W188">
        <v>18.600000000000001</v>
      </c>
    </row>
    <row r="189" spans="1:23" x14ac:dyDescent="0.3">
      <c r="A189">
        <v>18.7</v>
      </c>
      <c r="B189">
        <v>18.7</v>
      </c>
      <c r="C189">
        <v>16.8</v>
      </c>
      <c r="D189">
        <f t="shared" si="22"/>
        <v>-0.1489990258141988</v>
      </c>
      <c r="E189">
        <f t="shared" si="16"/>
        <v>-0.80457181205292649</v>
      </c>
      <c r="F189">
        <f t="shared" si="17"/>
        <v>-1.7409419346392896E-2</v>
      </c>
      <c r="G189">
        <f t="shared" si="18"/>
        <v>-3.4424580916317337E-3</v>
      </c>
      <c r="H189">
        <f t="shared" si="19"/>
        <v>-2.0851877438024628E-2</v>
      </c>
      <c r="I189">
        <f t="shared" si="20"/>
        <v>-4.1703754876049257E-2</v>
      </c>
      <c r="T189">
        <f t="shared" si="21"/>
        <v>-0.95357083786712526</v>
      </c>
      <c r="U189">
        <v>1.6962679236552567</v>
      </c>
      <c r="V189">
        <v>-1.0063026256744176</v>
      </c>
      <c r="W189">
        <v>18.7</v>
      </c>
    </row>
    <row r="190" spans="1:23" x14ac:dyDescent="0.3">
      <c r="A190">
        <v>18.8</v>
      </c>
      <c r="B190">
        <v>18.8</v>
      </c>
      <c r="C190">
        <v>16.899999999999999</v>
      </c>
      <c r="D190">
        <f t="shared" si="22"/>
        <v>-4.9535640878367419E-2</v>
      </c>
      <c r="E190">
        <f t="shared" si="16"/>
        <v>-0.74126569378000062</v>
      </c>
      <c r="F190">
        <f t="shared" si="17"/>
        <v>-1.6894893246380042E-2</v>
      </c>
      <c r="G190">
        <f t="shared" si="18"/>
        <v>-2.0441334373449581E-3</v>
      </c>
      <c r="H190">
        <f t="shared" si="19"/>
        <v>-1.8939026683725001E-2</v>
      </c>
      <c r="I190">
        <f t="shared" si="20"/>
        <v>-3.7878053367450003E-2</v>
      </c>
      <c r="T190">
        <f t="shared" si="21"/>
        <v>-0.79080133465836799</v>
      </c>
      <c r="U190">
        <v>1.7654939308573419</v>
      </c>
      <c r="V190">
        <v>-1.3270592323494328</v>
      </c>
      <c r="W190">
        <v>18.8</v>
      </c>
    </row>
    <row r="191" spans="1:23" x14ac:dyDescent="0.3">
      <c r="A191">
        <v>18.899999999999999</v>
      </c>
      <c r="B191">
        <v>18.899999999999999</v>
      </c>
      <c r="C191">
        <v>17</v>
      </c>
      <c r="D191">
        <f t="shared" si="22"/>
        <v>5.0422687806811223E-2</v>
      </c>
      <c r="E191">
        <f t="shared" si="16"/>
        <v>-0.6705530937246883</v>
      </c>
      <c r="F191">
        <f t="shared" si="17"/>
        <v>-1.0133021805923889E-2</v>
      </c>
      <c r="G191">
        <f t="shared" si="18"/>
        <v>9.8232382218613474E-18</v>
      </c>
      <c r="H191">
        <f t="shared" si="19"/>
        <v>-1.0133021805923879E-2</v>
      </c>
      <c r="I191">
        <f t="shared" si="20"/>
        <v>-2.0266043611847757E-2</v>
      </c>
      <c r="T191">
        <f t="shared" si="21"/>
        <v>-0.62013040591787705</v>
      </c>
      <c r="U191">
        <v>1.1356653307556879</v>
      </c>
      <c r="V191">
        <v>-1.4299707879959092</v>
      </c>
      <c r="W191">
        <v>18.899999999999999</v>
      </c>
    </row>
    <row r="192" spans="1:23" x14ac:dyDescent="0.3">
      <c r="A192">
        <v>19</v>
      </c>
      <c r="B192">
        <v>19</v>
      </c>
      <c r="C192">
        <v>17.100000000000001</v>
      </c>
      <c r="D192">
        <f t="shared" si="22"/>
        <v>0.14987720966295234</v>
      </c>
      <c r="E192">
        <f t="shared" si="16"/>
        <v>-0.59314054881225931</v>
      </c>
      <c r="F192">
        <f t="shared" si="17"/>
        <v>-1.9675935629309395E-16</v>
      </c>
      <c r="G192">
        <f t="shared" si="18"/>
        <v>1.8869729902086093E-3</v>
      </c>
      <c r="H192">
        <f t="shared" si="19"/>
        <v>1.8869729902084127E-3</v>
      </c>
      <c r="I192">
        <f t="shared" si="20"/>
        <v>3.7739459804168253E-3</v>
      </c>
      <c r="T192">
        <f t="shared" si="21"/>
        <v>-0.44326333914930693</v>
      </c>
      <c r="U192">
        <v>-4.9274494121690304E-16</v>
      </c>
      <c r="V192">
        <v>-1.2831347973935079</v>
      </c>
      <c r="W192">
        <v>19</v>
      </c>
    </row>
    <row r="193" spans="1:23" x14ac:dyDescent="0.3">
      <c r="A193">
        <v>19.100000000000001</v>
      </c>
      <c r="B193">
        <v>19.100000000000001</v>
      </c>
      <c r="C193">
        <v>17.2</v>
      </c>
      <c r="D193">
        <f t="shared" si="22"/>
        <v>0.24783420798295983</v>
      </c>
      <c r="E193">
        <f t="shared" si="16"/>
        <v>-0.50980153960229591</v>
      </c>
      <c r="F193">
        <f t="shared" si="17"/>
        <v>9.5429205548547974E-3</v>
      </c>
      <c r="G193">
        <f t="shared" si="18"/>
        <v>2.9334692815604527E-3</v>
      </c>
      <c r="H193">
        <f t="shared" si="19"/>
        <v>1.247638983641525E-2</v>
      </c>
      <c r="I193">
        <f t="shared" si="20"/>
        <v>2.4952779672830501E-2</v>
      </c>
      <c r="T193">
        <f t="shared" si="21"/>
        <v>-0.26196733161933605</v>
      </c>
      <c r="U193">
        <v>-1.2302515660144406</v>
      </c>
      <c r="V193">
        <v>-0.89740641734737547</v>
      </c>
      <c r="W193">
        <v>19.100000000000001</v>
      </c>
    </row>
    <row r="194" spans="1:23" x14ac:dyDescent="0.3">
      <c r="A194">
        <v>19.2</v>
      </c>
      <c r="B194">
        <v>19.2</v>
      </c>
      <c r="C194">
        <v>17.3</v>
      </c>
      <c r="D194">
        <f t="shared" si="22"/>
        <v>0.34331492881989539</v>
      </c>
      <c r="E194">
        <f t="shared" si="16"/>
        <v>-0.42136876192661338</v>
      </c>
      <c r="F194">
        <f t="shared" si="17"/>
        <v>1.4984426096369094E-2</v>
      </c>
      <c r="G194">
        <f t="shared" si="18"/>
        <v>2.8184463058010378E-3</v>
      </c>
      <c r="H194">
        <f t="shared" si="19"/>
        <v>1.7802872402170131E-2</v>
      </c>
      <c r="I194">
        <f t="shared" si="20"/>
        <v>3.5605744804340263E-2</v>
      </c>
      <c r="T194">
        <f t="shared" si="21"/>
        <v>-7.8053833106717985E-2</v>
      </c>
      <c r="U194">
        <v>-2.0718263205311542</v>
      </c>
      <c r="V194">
        <v>-0.32709825727740882</v>
      </c>
      <c r="W194">
        <v>19.2</v>
      </c>
    </row>
    <row r="195" spans="1:23" x14ac:dyDescent="0.3">
      <c r="A195">
        <v>19.3</v>
      </c>
      <c r="B195">
        <v>19.3</v>
      </c>
      <c r="C195">
        <v>17.399999999999999</v>
      </c>
      <c r="D195">
        <f t="shared" si="22"/>
        <v>0.4353653603728932</v>
      </c>
      <c r="E195">
        <f t="shared" ref="E195:E202" si="23">SIN(B195-(PI()/4))</f>
        <v>-0.32872580686775116</v>
      </c>
      <c r="F195">
        <f t="shared" ref="F195:F202" si="24">($J$3*EXP(-$K$3*B195)*SIN(2*PI()*B195/$L$3)+$M$3)</f>
        <v>1.4541569378009118E-2</v>
      </c>
      <c r="G195">
        <f t="shared" ref="G195:G202" si="25">($N$3*EXP(-$O$3*C195)*SIN(2*PI()*C195/$P$3)+$Q$3)</f>
        <v>1.6735949085493131E-3</v>
      </c>
      <c r="H195">
        <f t="shared" ref="H195:H202" si="26">F195+G195</f>
        <v>1.621516428655843E-2</v>
      </c>
      <c r="I195">
        <f t="shared" ref="I195:I202" si="27">H195*2</f>
        <v>3.2430328573116861E-2</v>
      </c>
      <c r="T195">
        <f t="shared" ref="T195:T202" si="28">D195+E195</f>
        <v>0.10663955350514204</v>
      </c>
      <c r="U195">
        <v>-2.1563791566641979</v>
      </c>
      <c r="V195">
        <v>0.33705988225980021</v>
      </c>
      <c r="W195">
        <v>19.3</v>
      </c>
    </row>
    <row r="196" spans="1:23" x14ac:dyDescent="0.3">
      <c r="A196">
        <v>19.399999999999999</v>
      </c>
      <c r="B196">
        <v>19.399999999999999</v>
      </c>
      <c r="C196">
        <v>17.5</v>
      </c>
      <c r="D196">
        <f t="shared" ref="D196:D202" si="29">SIN(B196)</f>
        <v>0.52306576515769643</v>
      </c>
      <c r="E196">
        <f t="shared" si="23"/>
        <v>-0.23279833220897453</v>
      </c>
      <c r="F196">
        <f t="shared" si="24"/>
        <v>8.7215726936476917E-3</v>
      </c>
      <c r="G196">
        <f t="shared" si="25"/>
        <v>2.1449469799591636E-17</v>
      </c>
      <c r="H196">
        <f t="shared" si="26"/>
        <v>8.7215726936477125E-3</v>
      </c>
      <c r="I196">
        <f t="shared" si="27"/>
        <v>1.7443145387295425E-2</v>
      </c>
      <c r="T196">
        <f t="shared" si="28"/>
        <v>0.29026743294872193</v>
      </c>
      <c r="U196">
        <v>-1.3871047673318777</v>
      </c>
      <c r="V196">
        <v>0.98191902389352392</v>
      </c>
      <c r="W196">
        <v>19.399999999999999</v>
      </c>
    </row>
    <row r="197" spans="1:23" x14ac:dyDescent="0.3">
      <c r="A197">
        <v>19.5</v>
      </c>
      <c r="B197">
        <v>19.5</v>
      </c>
      <c r="C197">
        <v>17.600000000000001</v>
      </c>
      <c r="D197">
        <f t="shared" si="29"/>
        <v>0.60553986971960105</v>
      </c>
      <c r="E197">
        <f t="shared" si="23"/>
        <v>-0.13454481356765988</v>
      </c>
      <c r="F197">
        <f t="shared" si="24"/>
        <v>1.1995921373710745E-16</v>
      </c>
      <c r="G197">
        <f t="shared" si="25"/>
        <v>-1.544922817311313E-3</v>
      </c>
      <c r="H197">
        <f t="shared" si="26"/>
        <v>-1.5449228173111931E-3</v>
      </c>
      <c r="I197">
        <f t="shared" si="27"/>
        <v>-3.0898456346223862E-3</v>
      </c>
      <c r="T197">
        <f t="shared" si="28"/>
        <v>0.47099505615194115</v>
      </c>
      <c r="U197">
        <v>3.0092001513589812E-16</v>
      </c>
      <c r="V197">
        <v>1.4907899456479956</v>
      </c>
      <c r="W197">
        <v>19.5</v>
      </c>
    </row>
    <row r="198" spans="1:23" x14ac:dyDescent="0.3">
      <c r="A198">
        <v>19.600000000000001</v>
      </c>
      <c r="B198">
        <v>19.600000000000001</v>
      </c>
      <c r="C198">
        <v>17.7</v>
      </c>
      <c r="D198">
        <f t="shared" si="29"/>
        <v>0.6819636200681356</v>
      </c>
      <c r="E198">
        <f t="shared" si="23"/>
        <v>-3.4946967623779447E-2</v>
      </c>
      <c r="F198">
        <f t="shared" si="24"/>
        <v>-8.213667839954206E-3</v>
      </c>
      <c r="G198">
        <f t="shared" si="25"/>
        <v>-2.401721514023107E-3</v>
      </c>
      <c r="H198">
        <f t="shared" si="26"/>
        <v>-1.0615389353977312E-2</v>
      </c>
      <c r="I198">
        <f t="shared" si="27"/>
        <v>-2.1230778707954624E-2</v>
      </c>
      <c r="T198">
        <f t="shared" si="28"/>
        <v>0.64701665244435613</v>
      </c>
      <c r="U198">
        <v>1.5026326559609058</v>
      </c>
      <c r="V198">
        <v>1.7641235875296084</v>
      </c>
      <c r="W198">
        <v>19.600000000000001</v>
      </c>
    </row>
    <row r="199" spans="1:23" x14ac:dyDescent="0.3">
      <c r="A199">
        <v>19.7</v>
      </c>
      <c r="B199">
        <v>19.7</v>
      </c>
      <c r="C199">
        <v>17.8</v>
      </c>
      <c r="D199">
        <f t="shared" si="29"/>
        <v>0.75157341535214828</v>
      </c>
      <c r="E199">
        <f t="shared" si="23"/>
        <v>6.5000056868662615E-2</v>
      </c>
      <c r="F199">
        <f t="shared" si="24"/>
        <v>-1.289721506329663E-2</v>
      </c>
      <c r="G199">
        <f t="shared" si="25"/>
        <v>-2.3075486664583364E-3</v>
      </c>
      <c r="H199">
        <f t="shared" si="26"/>
        <v>-1.5204763729754966E-2</v>
      </c>
      <c r="I199">
        <f t="shared" si="27"/>
        <v>-3.0409527459509932E-2</v>
      </c>
      <c r="T199">
        <f t="shared" si="28"/>
        <v>0.81657347222081089</v>
      </c>
      <c r="U199">
        <v>2.5305343823255884</v>
      </c>
      <c r="V199">
        <v>1.7384004183951096</v>
      </c>
      <c r="W199">
        <v>19.7</v>
      </c>
    </row>
    <row r="200" spans="1:23" x14ac:dyDescent="0.3">
      <c r="A200">
        <v>19.8</v>
      </c>
      <c r="B200">
        <v>19.8</v>
      </c>
      <c r="C200">
        <v>17.899999999999999</v>
      </c>
      <c r="D200">
        <f t="shared" si="29"/>
        <v>0.81367373750710537</v>
      </c>
      <c r="E200">
        <f t="shared" si="23"/>
        <v>0.16429762227903869</v>
      </c>
      <c r="F200">
        <f t="shared" si="24"/>
        <v>-1.2516044753390798E-2</v>
      </c>
      <c r="G200">
        <f t="shared" si="25"/>
        <v>-1.3702236198240485E-3</v>
      </c>
      <c r="H200">
        <f t="shared" si="26"/>
        <v>-1.3886268373214846E-2</v>
      </c>
      <c r="I200">
        <f t="shared" si="27"/>
        <v>-2.7772536746429693E-2</v>
      </c>
      <c r="T200">
        <f t="shared" si="28"/>
        <v>0.97797135978614402</v>
      </c>
      <c r="U200">
        <v>2.633807449588752</v>
      </c>
      <c r="V200">
        <v>1.399734879902532</v>
      </c>
      <c r="W200">
        <v>19.8</v>
      </c>
    </row>
    <row r="201" spans="1:23" x14ac:dyDescent="0.3">
      <c r="A201">
        <v>19.899999999999999</v>
      </c>
      <c r="B201">
        <v>19.899999999999999</v>
      </c>
      <c r="C201">
        <v>18</v>
      </c>
      <c r="D201">
        <f t="shared" si="29"/>
        <v>0.8676441006416673</v>
      </c>
      <c r="E201">
        <f t="shared" si="23"/>
        <v>0.26195358015717241</v>
      </c>
      <c r="F201">
        <f t="shared" si="24"/>
        <v>-7.5067271843935078E-3</v>
      </c>
      <c r="G201">
        <f t="shared" si="25"/>
        <v>-9.8785272555654303E-18</v>
      </c>
      <c r="H201">
        <f t="shared" si="26"/>
        <v>-7.5067271843935173E-3</v>
      </c>
      <c r="I201">
        <f t="shared" si="27"/>
        <v>-1.5013454368787035E-2</v>
      </c>
      <c r="T201">
        <f t="shared" si="28"/>
        <v>1.1295976807988397</v>
      </c>
      <c r="U201">
        <v>1.6942135886762761</v>
      </c>
      <c r="V201">
        <v>0.78943151720684801</v>
      </c>
      <c r="W201">
        <v>19.899999999999999</v>
      </c>
    </row>
    <row r="202" spans="1:23" x14ac:dyDescent="0.3">
      <c r="A202">
        <v>20</v>
      </c>
      <c r="B202">
        <v>20</v>
      </c>
      <c r="C202">
        <v>18.100000000000001</v>
      </c>
      <c r="D202">
        <f t="shared" si="29"/>
        <v>0.91294525072762767</v>
      </c>
      <c r="E202">
        <f t="shared" si="23"/>
        <v>0.35699218445272024</v>
      </c>
      <c r="F202">
        <f t="shared" si="24"/>
        <v>-6.0736787986883362E-17</v>
      </c>
      <c r="G202">
        <f t="shared" si="25"/>
        <v>1.2648758216646297E-3</v>
      </c>
      <c r="H202">
        <f t="shared" si="26"/>
        <v>1.264875821664569E-3</v>
      </c>
      <c r="I202">
        <f t="shared" si="27"/>
        <v>2.529751643329138E-3</v>
      </c>
      <c r="T202">
        <f t="shared" si="28"/>
        <v>1.2699374351803479</v>
      </c>
      <c r="U202">
        <v>0</v>
      </c>
      <c r="V202">
        <v>0</v>
      </c>
      <c r="W202">
        <v>20</v>
      </c>
    </row>
  </sheetData>
  <sortState xmlns:xlrd2="http://schemas.microsoft.com/office/spreadsheetml/2017/richdata2" ref="V2:W202">
    <sortCondition ref="W2:W20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EB02-6F75-408F-8F54-E197AC79AC6C}">
  <dimension ref="A1:Y802"/>
  <sheetViews>
    <sheetView zoomScaleNormal="100" workbookViewId="0">
      <selection activeCell="A2" sqref="A2"/>
    </sheetView>
  </sheetViews>
  <sheetFormatPr defaultRowHeight="14.4" x14ac:dyDescent="0.3"/>
  <sheetData>
    <row r="1" spans="1:25" x14ac:dyDescent="0.3">
      <c r="A1" t="s">
        <v>18</v>
      </c>
      <c r="B1" t="s">
        <v>7</v>
      </c>
      <c r="C1" t="s">
        <v>20</v>
      </c>
      <c r="D1" t="s">
        <v>19</v>
      </c>
      <c r="P1" t="s">
        <v>6</v>
      </c>
      <c r="T1" t="s">
        <v>21</v>
      </c>
      <c r="U1" t="s">
        <v>22</v>
      </c>
      <c r="W1" t="s">
        <v>21</v>
      </c>
      <c r="X1" t="s">
        <v>22</v>
      </c>
      <c r="Y1" t="s">
        <v>19</v>
      </c>
    </row>
    <row r="2" spans="1:25" x14ac:dyDescent="0.3">
      <c r="A2">
        <v>0</v>
      </c>
      <c r="B2">
        <v>0</v>
      </c>
      <c r="C2">
        <f>A2-B2</f>
        <v>0</v>
      </c>
      <c r="D2">
        <v>20</v>
      </c>
      <c r="P2" t="s">
        <v>4</v>
      </c>
      <c r="Q2" t="s">
        <v>1</v>
      </c>
      <c r="R2" t="s">
        <v>3</v>
      </c>
      <c r="S2" t="s">
        <v>8</v>
      </c>
      <c r="T2">
        <v>0</v>
      </c>
      <c r="U2">
        <f>($P$3*EXP(-$Q$3*T2)*SIN(2*PI()*T2/$R$3)+$S$3)</f>
        <v>0</v>
      </c>
      <c r="W2">
        <v>0</v>
      </c>
      <c r="X2">
        <v>0</v>
      </c>
      <c r="Y2">
        <v>601</v>
      </c>
    </row>
    <row r="3" spans="1:25" x14ac:dyDescent="0.3">
      <c r="A3">
        <v>1.6942135886762761</v>
      </c>
      <c r="B3">
        <v>0.78943151720684801</v>
      </c>
      <c r="C3">
        <f t="shared" ref="C3:C66" si="0">A3-B3</f>
        <v>0.90478207146942813</v>
      </c>
      <c r="D3">
        <v>19.899999999999999</v>
      </c>
      <c r="P3">
        <v>5</v>
      </c>
      <c r="Q3">
        <v>0.3</v>
      </c>
      <c r="R3">
        <v>1.5</v>
      </c>
      <c r="S3">
        <f>RADIANS(0)</f>
        <v>0</v>
      </c>
      <c r="T3">
        <f>T2+0.01</f>
        <v>0.01</v>
      </c>
      <c r="U3">
        <f>($P$3*EXP(-$Q$3*T3)*SIN(2*PI()*T3/$R$3)+$S$3)</f>
        <v>0.20875107510077309</v>
      </c>
      <c r="W3">
        <f>W2+0.01</f>
        <v>0.01</v>
      </c>
      <c r="X3">
        <v>0</v>
      </c>
      <c r="Y3">
        <v>600</v>
      </c>
    </row>
    <row r="4" spans="1:25" x14ac:dyDescent="0.3">
      <c r="A4">
        <v>2.633807449588752</v>
      </c>
      <c r="B4">
        <v>1.399734879902532</v>
      </c>
      <c r="C4">
        <f t="shared" si="0"/>
        <v>1.23407256968622</v>
      </c>
      <c r="D4">
        <v>19.8</v>
      </c>
      <c r="T4">
        <f t="shared" ref="T4:T67" si="1">T3+0.01</f>
        <v>0.02</v>
      </c>
      <c r="U4">
        <f>($P$3*EXP(-$Q$3*T4)*SIN(2*PI()*T4/$R$3)+$S$3)</f>
        <v>0.41588639732806204</v>
      </c>
      <c r="W4">
        <f t="shared" ref="W4:W67" si="2">W3+0.01</f>
        <v>0.02</v>
      </c>
      <c r="X4">
        <v>0</v>
      </c>
      <c r="Y4">
        <v>599</v>
      </c>
    </row>
    <row r="5" spans="1:25" x14ac:dyDescent="0.3">
      <c r="A5">
        <v>2.5305343823255884</v>
      </c>
      <c r="B5">
        <v>1.7384004183951096</v>
      </c>
      <c r="C5">
        <f t="shared" si="0"/>
        <v>0.79213396393047875</v>
      </c>
      <c r="D5">
        <v>19.7</v>
      </c>
      <c r="T5">
        <f t="shared" si="1"/>
        <v>0.03</v>
      </c>
      <c r="U5">
        <f>($P$3*EXP(-$Q$3*T5)*SIN(2*PI()*T5/$R$3)+$S$3)</f>
        <v>0.62105147632199176</v>
      </c>
      <c r="W5">
        <f t="shared" si="2"/>
        <v>0.03</v>
      </c>
      <c r="X5">
        <v>0</v>
      </c>
      <c r="Y5">
        <v>598</v>
      </c>
    </row>
    <row r="6" spans="1:25" x14ac:dyDescent="0.3">
      <c r="A6">
        <v>1.5026326559609058</v>
      </c>
      <c r="B6">
        <v>1.7641235875296084</v>
      </c>
      <c r="C6">
        <f t="shared" si="0"/>
        <v>-0.26149093156870262</v>
      </c>
      <c r="D6">
        <v>19.600000000000001</v>
      </c>
      <c r="T6">
        <f t="shared" si="1"/>
        <v>0.04</v>
      </c>
      <c r="U6">
        <f>($P$3*EXP(-$Q$3*T6)*SIN(2*PI()*T6/$R$3)+$S$3)</f>
        <v>0.82389740609808326</v>
      </c>
      <c r="W6">
        <f t="shared" si="2"/>
        <v>0.04</v>
      </c>
      <c r="X6">
        <v>0</v>
      </c>
      <c r="Y6">
        <v>597</v>
      </c>
    </row>
    <row r="7" spans="1:25" x14ac:dyDescent="0.3">
      <c r="A7">
        <v>3.0092001513589812E-16</v>
      </c>
      <c r="B7">
        <v>1.4907899456479956</v>
      </c>
      <c r="C7">
        <f t="shared" si="0"/>
        <v>-1.4907899456479954</v>
      </c>
      <c r="D7">
        <v>19.5</v>
      </c>
      <c r="T7">
        <f t="shared" si="1"/>
        <v>0.05</v>
      </c>
      <c r="U7">
        <f>($P$3*EXP(-$Q$3*T7)*SIN(2*PI()*T7/$R$3)+$S$3)</f>
        <v>1.0240814450381757</v>
      </c>
      <c r="W7">
        <f t="shared" si="2"/>
        <v>0.05</v>
      </c>
      <c r="X7">
        <v>0</v>
      </c>
      <c r="Y7">
        <v>596</v>
      </c>
    </row>
    <row r="8" spans="1:25" x14ac:dyDescent="0.3">
      <c r="A8">
        <v>-1.3871047673318777</v>
      </c>
      <c r="B8">
        <v>0.98191902389352392</v>
      </c>
      <c r="C8">
        <f t="shared" si="0"/>
        <v>-2.3690237912254015</v>
      </c>
      <c r="D8">
        <v>19.399999999999999</v>
      </c>
      <c r="T8">
        <f t="shared" si="1"/>
        <v>6.0000000000000005E-2</v>
      </c>
      <c r="U8">
        <f>($P$3*EXP(-$Q$3*T8)*SIN(2*PI()*T8/$R$3)+$S$3)</f>
        <v>1.2212675815745155</v>
      </c>
      <c r="W8">
        <f t="shared" si="2"/>
        <v>6.0000000000000005E-2</v>
      </c>
      <c r="X8">
        <v>0</v>
      </c>
      <c r="Y8">
        <v>595</v>
      </c>
    </row>
    <row r="9" spans="1:25" x14ac:dyDescent="0.3">
      <c r="A9">
        <v>-2.1563791566641979</v>
      </c>
      <c r="B9">
        <v>0.33705988225980021</v>
      </c>
      <c r="C9">
        <f t="shared" si="0"/>
        <v>-2.4934390389239982</v>
      </c>
      <c r="D9">
        <v>19.3</v>
      </c>
      <c r="T9">
        <f t="shared" si="1"/>
        <v>7.0000000000000007E-2</v>
      </c>
      <c r="U9">
        <f>($P$3*EXP(-$Q$3*T9)*SIN(2*PI()*T9/$R$3)+$S$3)</f>
        <v>1.4151270846580788</v>
      </c>
      <c r="W9">
        <f t="shared" si="2"/>
        <v>7.0000000000000007E-2</v>
      </c>
      <c r="X9">
        <v>0</v>
      </c>
      <c r="Y9">
        <v>594</v>
      </c>
    </row>
    <row r="10" spans="1:25" x14ac:dyDescent="0.3">
      <c r="A10">
        <v>-2.0718263205311542</v>
      </c>
      <c r="B10">
        <v>-0.32709825727740882</v>
      </c>
      <c r="C10">
        <f t="shared" si="0"/>
        <v>-1.7447280632537454</v>
      </c>
      <c r="D10">
        <v>19.2</v>
      </c>
      <c r="T10">
        <f t="shared" si="1"/>
        <v>0.08</v>
      </c>
      <c r="U10">
        <f>($P$3*EXP(-$Q$3*T10)*SIN(2*PI()*T10/$R$3)+$S$3)</f>
        <v>1.6053390381344068</v>
      </c>
      <c r="W10">
        <f t="shared" si="2"/>
        <v>0.08</v>
      </c>
      <c r="X10">
        <v>0</v>
      </c>
      <c r="Y10">
        <v>593</v>
      </c>
    </row>
    <row r="11" spans="1:25" x14ac:dyDescent="0.3">
      <c r="A11">
        <v>-1.2302515660144406</v>
      </c>
      <c r="B11">
        <v>-0.89740641734737547</v>
      </c>
      <c r="C11">
        <f t="shared" si="0"/>
        <v>-0.33284514866706516</v>
      </c>
      <c r="D11">
        <v>19.100000000000001</v>
      </c>
      <c r="T11">
        <f t="shared" si="1"/>
        <v>0.09</v>
      </c>
      <c r="U11">
        <f>($P$3*EXP(-$Q$3*T11)*SIN(2*PI()*T11/$R$3)+$S$3)</f>
        <v>1.7915908581837463</v>
      </c>
      <c r="W11">
        <f t="shared" si="2"/>
        <v>0.09</v>
      </c>
      <c r="X11">
        <v>0</v>
      </c>
      <c r="Y11">
        <v>592</v>
      </c>
    </row>
    <row r="12" spans="1:25" x14ac:dyDescent="0.3">
      <c r="A12">
        <v>-4.9274494121690304E-16</v>
      </c>
      <c r="B12">
        <v>-1.2831347973935079</v>
      </c>
      <c r="C12">
        <f t="shared" si="0"/>
        <v>1.2831347973935074</v>
      </c>
      <c r="D12">
        <v>19</v>
      </c>
      <c r="T12">
        <f t="shared" si="1"/>
        <v>9.9999999999999992E-2</v>
      </c>
      <c r="U12">
        <f>($P$3*EXP(-$Q$3*T12)*SIN(2*PI()*T12/$R$3)+$S$3)</f>
        <v>1.9735787930171198</v>
      </c>
      <c r="W12">
        <f t="shared" si="2"/>
        <v>9.9999999999999992E-2</v>
      </c>
      <c r="X12">
        <v>0</v>
      </c>
      <c r="Y12">
        <v>591</v>
      </c>
    </row>
    <row r="13" spans="1:25" x14ac:dyDescent="0.3">
      <c r="A13">
        <v>1.1356653307556879</v>
      </c>
      <c r="B13">
        <v>-1.4299707879959092</v>
      </c>
      <c r="C13">
        <f t="shared" si="0"/>
        <v>2.565636118751597</v>
      </c>
      <c r="D13">
        <v>18.899999999999999</v>
      </c>
      <c r="T13">
        <f t="shared" si="1"/>
        <v>0.10999999999999999</v>
      </c>
      <c r="U13">
        <f>($P$3*EXP(-$Q$3*T13)*SIN(2*PI()*T13/$R$3)+$S$3)</f>
        <v>2.1510084040559789</v>
      </c>
      <c r="W13">
        <f t="shared" si="2"/>
        <v>0.10999999999999999</v>
      </c>
      <c r="X13">
        <v>0</v>
      </c>
      <c r="Y13">
        <v>590</v>
      </c>
    </row>
    <row r="14" spans="1:25" x14ac:dyDescent="0.3">
      <c r="A14">
        <v>1.7654939308573419</v>
      </c>
      <c r="B14">
        <v>-1.3270592323494328</v>
      </c>
      <c r="C14">
        <f t="shared" si="0"/>
        <v>3.0925531632067749</v>
      </c>
      <c r="D14">
        <v>18.8</v>
      </c>
      <c r="T14">
        <f t="shared" si="1"/>
        <v>0.11999999999999998</v>
      </c>
      <c r="U14">
        <f>($P$3*EXP(-$Q$3*T14)*SIN(2*PI()*T14/$R$3)+$S$3)</f>
        <v>2.3235950278602573</v>
      </c>
      <c r="W14">
        <f t="shared" si="2"/>
        <v>0.11999999999999998</v>
      </c>
      <c r="X14">
        <v>0</v>
      </c>
      <c r="Y14">
        <v>589</v>
      </c>
    </row>
    <row r="15" spans="1:25" x14ac:dyDescent="0.3">
      <c r="A15">
        <v>1.6962679236552567</v>
      </c>
      <c r="B15">
        <v>-1.0063026256744176</v>
      </c>
      <c r="C15">
        <f t="shared" si="0"/>
        <v>2.7025705493296743</v>
      </c>
      <c r="D15">
        <v>18.7</v>
      </c>
      <c r="T15">
        <f t="shared" si="1"/>
        <v>0.12999999999999998</v>
      </c>
      <c r="U15">
        <f>($P$3*EXP(-$Q$3*T15)*SIN(2*PI()*T15/$R$3)+$S$3)</f>
        <v>2.4910642181078968</v>
      </c>
      <c r="W15">
        <f t="shared" si="2"/>
        <v>0.12999999999999998</v>
      </c>
      <c r="X15">
        <v>0</v>
      </c>
      <c r="Y15">
        <v>588</v>
      </c>
    </row>
    <row r="16" spans="1:25" x14ac:dyDescent="0.3">
      <c r="A16">
        <v>1.0072447911183695</v>
      </c>
      <c r="B16">
        <v>-0.53449003567041264</v>
      </c>
      <c r="C16">
        <f t="shared" si="0"/>
        <v>1.5417348267887823</v>
      </c>
      <c r="D16">
        <v>18.600000000000001</v>
      </c>
      <c r="T16">
        <f t="shared" si="1"/>
        <v>0.13999999999999999</v>
      </c>
      <c r="U16">
        <f>($P$3*EXP(-$Q$3*T16)*SIN(2*PI()*T16/$R$3)+$S$3)</f>
        <v>2.6531521669681624</v>
      </c>
      <c r="W16">
        <f t="shared" si="2"/>
        <v>0.13999999999999999</v>
      </c>
      <c r="X16">
        <v>0</v>
      </c>
      <c r="Y16">
        <v>587</v>
      </c>
    </row>
    <row r="17" spans="1:25" x14ac:dyDescent="0.3">
      <c r="A17">
        <v>6.0513815519682143E-16</v>
      </c>
      <c r="B17">
        <v>-3.1247565790626193E-16</v>
      </c>
      <c r="C17">
        <f t="shared" si="0"/>
        <v>9.1761381310308341E-16</v>
      </c>
      <c r="D17">
        <v>18.5</v>
      </c>
      <c r="T17">
        <f t="shared" si="1"/>
        <v>0.15</v>
      </c>
      <c r="U17">
        <f>($P$3*EXP(-$Q$3*T17)*SIN(2*PI()*T17/$R$3)+$S$3)</f>
        <v>2.8096061052511883</v>
      </c>
      <c r="W17">
        <f t="shared" si="2"/>
        <v>0.15</v>
      </c>
      <c r="X17">
        <v>0</v>
      </c>
      <c r="Y17">
        <v>586</v>
      </c>
    </row>
    <row r="18" spans="1:25" x14ac:dyDescent="0.3">
      <c r="A18">
        <v>-0.92980413149415853</v>
      </c>
      <c r="B18">
        <v>0.50336375914857401</v>
      </c>
      <c r="C18">
        <f t="shared" si="0"/>
        <v>-1.4331678906427325</v>
      </c>
      <c r="D18">
        <v>18.399999999999999</v>
      </c>
      <c r="T18">
        <f t="shared" si="1"/>
        <v>0.16</v>
      </c>
      <c r="U18">
        <f>($P$3*EXP(-$Q$3*T18)*SIN(2*PI()*T18/$R$3)+$S$3)</f>
        <v>2.9601846807572589</v>
      </c>
      <c r="W18">
        <f t="shared" si="2"/>
        <v>0.16</v>
      </c>
      <c r="X18">
        <v>0</v>
      </c>
      <c r="Y18">
        <v>585</v>
      </c>
    </row>
    <row r="19" spans="1:25" x14ac:dyDescent="0.3">
      <c r="A19">
        <v>-1.4454641755654378</v>
      </c>
      <c r="B19">
        <v>0.89251036423277641</v>
      </c>
      <c r="C19">
        <f t="shared" si="0"/>
        <v>-2.3379745397982141</v>
      </c>
      <c r="D19">
        <v>18.3</v>
      </c>
      <c r="T19">
        <f t="shared" si="1"/>
        <v>0.17</v>
      </c>
      <c r="U19">
        <f>($P$3*EXP(-$Q$3*T19)*SIN(2*PI()*T19/$R$3)+$S$3)</f>
        <v>3.1046583142910649</v>
      </c>
      <c r="W19">
        <f t="shared" si="2"/>
        <v>0.17</v>
      </c>
      <c r="X19">
        <v>0</v>
      </c>
      <c r="Y19">
        <v>584</v>
      </c>
    </row>
    <row r="20" spans="1:25" x14ac:dyDescent="0.3">
      <c r="A20">
        <v>-1.3887867145562929</v>
      </c>
      <c r="B20">
        <v>1.108453045559791</v>
      </c>
      <c r="C20">
        <f t="shared" si="0"/>
        <v>-2.4972397601160838</v>
      </c>
      <c r="D20">
        <v>18.2</v>
      </c>
      <c r="T20">
        <f t="shared" si="1"/>
        <v>0.18000000000000002</v>
      </c>
      <c r="U20">
        <f>($P$3*EXP(-$Q$3*T20)*SIN(2*PI()*T20/$R$3)+$S$3)</f>
        <v>3.2428095328486362</v>
      </c>
      <c r="W20">
        <f t="shared" si="2"/>
        <v>0.18000000000000002</v>
      </c>
      <c r="X20">
        <v>0</v>
      </c>
      <c r="Y20">
        <v>583</v>
      </c>
    </row>
    <row r="21" spans="1:25" x14ac:dyDescent="0.3">
      <c r="A21">
        <v>-0.82466228636621741</v>
      </c>
      <c r="B21">
        <v>1.1248548623488759</v>
      </c>
      <c r="C21">
        <f t="shared" si="0"/>
        <v>-1.9495171487150933</v>
      </c>
      <c r="D21">
        <v>18.100000000000001</v>
      </c>
      <c r="T21">
        <f t="shared" si="1"/>
        <v>0.19000000000000003</v>
      </c>
      <c r="U21">
        <f>($P$3*EXP(-$Q$3*T21)*SIN(2*PI()*T21/$R$3)+$S$3)</f>
        <v>3.3744332795277709</v>
      </c>
      <c r="W21">
        <f t="shared" si="2"/>
        <v>0.19000000000000003</v>
      </c>
      <c r="X21">
        <v>0</v>
      </c>
      <c r="Y21">
        <v>582</v>
      </c>
    </row>
    <row r="22" spans="1:25" x14ac:dyDescent="0.3">
      <c r="A22">
        <v>-6.605936233606857E-16</v>
      </c>
      <c r="B22">
        <v>0.95056963749985579</v>
      </c>
      <c r="C22">
        <f t="shared" si="0"/>
        <v>-0.95056963749985646</v>
      </c>
      <c r="D22">
        <v>18</v>
      </c>
      <c r="T22">
        <f t="shared" si="1"/>
        <v>0.20000000000000004</v>
      </c>
      <c r="U22">
        <f>($P$3*EXP(-$Q$3*T22)*SIN(2*PI()*T22/$R$3)+$S$3)</f>
        <v>3.4993371997563307</v>
      </c>
      <c r="W22">
        <f t="shared" si="2"/>
        <v>0.20000000000000004</v>
      </c>
      <c r="X22">
        <v>0</v>
      </c>
      <c r="Y22">
        <v>581</v>
      </c>
    </row>
    <row r="23" spans="1:25" x14ac:dyDescent="0.3">
      <c r="A23">
        <v>0.76125923679323115</v>
      </c>
      <c r="B23">
        <v>0.62609921224748366</v>
      </c>
      <c r="C23">
        <f t="shared" si="0"/>
        <v>0.13516002454574749</v>
      </c>
      <c r="D23">
        <v>17.899999999999999</v>
      </c>
      <c r="T23">
        <f t="shared" si="1"/>
        <v>0.21000000000000005</v>
      </c>
      <c r="U23">
        <f>($P$3*EXP(-$Q$3*T23)*SIN(2*PI()*T23/$R$3)+$S$3)</f>
        <v>3.6173419034768903</v>
      </c>
      <c r="W23">
        <f t="shared" si="2"/>
        <v>0.21000000000000005</v>
      </c>
      <c r="X23">
        <v>0</v>
      </c>
      <c r="Y23">
        <v>580</v>
      </c>
    </row>
    <row r="24" spans="1:25" x14ac:dyDescent="0.3">
      <c r="A24">
        <v>1.1834459730079359</v>
      </c>
      <c r="B24">
        <v>0.21491886971116872</v>
      </c>
      <c r="C24">
        <f t="shared" si="0"/>
        <v>0.96852710329676717</v>
      </c>
      <c r="D24">
        <v>17.8</v>
      </c>
      <c r="T24">
        <f t="shared" si="1"/>
        <v>0.22000000000000006</v>
      </c>
      <c r="U24">
        <f>($P$3*EXP(-$Q$3*T24)*SIN(2*PI()*T24/$R$3)+$S$3)</f>
        <v>3.7282812029706172</v>
      </c>
      <c r="W24">
        <f t="shared" si="2"/>
        <v>0.22000000000000006</v>
      </c>
      <c r="X24">
        <v>0</v>
      </c>
      <c r="Y24">
        <v>579</v>
      </c>
    </row>
    <row r="25" spans="1:25" x14ac:dyDescent="0.3">
      <c r="A25">
        <v>1.1370423926733706</v>
      </c>
      <c r="B25">
        <v>-0.20856705718649676</v>
      </c>
      <c r="C25">
        <f t="shared" si="0"/>
        <v>1.3456094498598674</v>
      </c>
      <c r="D25">
        <v>17.7</v>
      </c>
      <c r="T25">
        <f t="shared" si="1"/>
        <v>0.23000000000000007</v>
      </c>
      <c r="U25">
        <f>($P$3*EXP(-$Q$3*T25)*SIN(2*PI()*T25/$R$3)+$S$3)</f>
        <v>3.8320023260480069</v>
      </c>
      <c r="W25">
        <f t="shared" si="2"/>
        <v>0.23000000000000007</v>
      </c>
      <c r="X25">
        <v>0</v>
      </c>
      <c r="Y25">
        <v>578</v>
      </c>
    </row>
    <row r="26" spans="1:25" x14ac:dyDescent="0.3">
      <c r="A26">
        <v>0.67517637475162373</v>
      </c>
      <c r="B26">
        <v>-0.57221159514672448</v>
      </c>
      <c r="C26">
        <f t="shared" si="0"/>
        <v>1.2473879698983481</v>
      </c>
      <c r="D26">
        <v>17.600000000000001</v>
      </c>
      <c r="T26">
        <f t="shared" si="1"/>
        <v>0.24000000000000007</v>
      </c>
      <c r="U26">
        <f>($P$3*EXP(-$Q$3*T26)*SIN(2*PI()*T26/$R$3)+$S$3)</f>
        <v>3.9283661043790357</v>
      </c>
      <c r="W26">
        <f t="shared" si="2"/>
        <v>0.24000000000000007</v>
      </c>
      <c r="X26">
        <v>0</v>
      </c>
      <c r="Y26">
        <v>577</v>
      </c>
    </row>
    <row r="27" spans="1:25" x14ac:dyDescent="0.3">
      <c r="A27">
        <v>6.7606039341575876E-16</v>
      </c>
      <c r="B27">
        <v>-0.81816286914360126</v>
      </c>
      <c r="C27">
        <f t="shared" si="0"/>
        <v>0.81816286914360192</v>
      </c>
      <c r="D27">
        <v>17.5</v>
      </c>
      <c r="T27">
        <f t="shared" si="1"/>
        <v>0.25000000000000006</v>
      </c>
      <c r="U27">
        <f>($P$3*EXP(-$Q$3*T27)*SIN(2*PI()*T27/$R$3)+$S$3)</f>
        <v>4.0172471367803393</v>
      </c>
      <c r="W27">
        <f t="shared" si="2"/>
        <v>0.25000000000000006</v>
      </c>
      <c r="X27">
        <v>0</v>
      </c>
      <c r="Y27">
        <v>576</v>
      </c>
    </row>
    <row r="28" spans="1:25" x14ac:dyDescent="0.3">
      <c r="A28">
        <v>-0.62326634822729166</v>
      </c>
      <c r="B28">
        <v>-0.91178963042296191</v>
      </c>
      <c r="C28">
        <f t="shared" si="0"/>
        <v>0.28852328219567025</v>
      </c>
      <c r="D28">
        <v>17.399999999999999</v>
      </c>
      <c r="T28">
        <f t="shared" si="1"/>
        <v>0.26000000000000006</v>
      </c>
      <c r="U28">
        <f>($P$3*EXP(-$Q$3*T28)*SIN(2*PI()*T28/$R$3)+$S$3)</f>
        <v>4.0985339273221628</v>
      </c>
      <c r="W28">
        <f t="shared" si="2"/>
        <v>0.26000000000000006</v>
      </c>
      <c r="X28">
        <v>0</v>
      </c>
      <c r="Y28">
        <v>575</v>
      </c>
    </row>
    <row r="29" spans="1:25" x14ac:dyDescent="0.3">
      <c r="A29">
        <v>-0.96892361270789162</v>
      </c>
      <c r="B29">
        <v>-0.84617032541557835</v>
      </c>
      <c r="C29">
        <f t="shared" si="0"/>
        <v>-0.12275328729231327</v>
      </c>
      <c r="D29">
        <v>17.3</v>
      </c>
      <c r="T29">
        <f t="shared" si="1"/>
        <v>0.27000000000000007</v>
      </c>
      <c r="U29">
        <f>($P$3*EXP(-$Q$3*T29)*SIN(2*PI()*T29/$R$3)+$S$3)</f>
        <v>4.172128998162913</v>
      </c>
      <c r="W29">
        <f t="shared" si="2"/>
        <v>0.27000000000000007</v>
      </c>
      <c r="X29">
        <v>0</v>
      </c>
      <c r="Y29">
        <v>574</v>
      </c>
    </row>
    <row r="30" spans="1:25" x14ac:dyDescent="0.3">
      <c r="A30">
        <v>-0.93093157443505858</v>
      </c>
      <c r="B30">
        <v>-0.64164688318091589</v>
      </c>
      <c r="C30">
        <f t="shared" si="0"/>
        <v>-0.28928469125414269</v>
      </c>
      <c r="D30">
        <v>17.2</v>
      </c>
      <c r="T30">
        <f t="shared" si="1"/>
        <v>0.28000000000000008</v>
      </c>
      <c r="U30">
        <f>($P$3*EXP(-$Q$3*T30)*SIN(2*PI()*T30/$R$3)+$S$3)</f>
        <v>4.2379489770641268</v>
      </c>
      <c r="W30">
        <f t="shared" si="2"/>
        <v>0.28000000000000008</v>
      </c>
      <c r="X30">
        <v>0</v>
      </c>
      <c r="Y30">
        <v>573</v>
      </c>
    </row>
    <row r="31" spans="1:25" x14ac:dyDescent="0.3">
      <c r="A31">
        <v>-0.5527876617608587</v>
      </c>
      <c r="B31">
        <v>-0.3408058935047818</v>
      </c>
      <c r="C31">
        <f t="shared" si="0"/>
        <v>-0.2119817682560769</v>
      </c>
      <c r="D31">
        <v>17.100000000000001</v>
      </c>
      <c r="T31">
        <f t="shared" si="1"/>
        <v>0.29000000000000009</v>
      </c>
      <c r="U31">
        <f>($P$3*EXP(-$Q$3*T31)*SIN(2*PI()*T31/$R$3)+$S$3)</f>
        <v>4.2959246595834495</v>
      </c>
      <c r="W31">
        <f t="shared" si="2"/>
        <v>0.29000000000000009</v>
      </c>
      <c r="X31">
        <v>0</v>
      </c>
      <c r="Y31">
        <v>572</v>
      </c>
    </row>
    <row r="32" spans="1:25" x14ac:dyDescent="0.3">
      <c r="A32">
        <v>-6.6421372203297681E-16</v>
      </c>
      <c r="B32">
        <v>-3.9848655235513474E-16</v>
      </c>
      <c r="C32">
        <f t="shared" si="0"/>
        <v>-2.6572716967784207E-16</v>
      </c>
      <c r="D32">
        <v>17</v>
      </c>
      <c r="T32">
        <f t="shared" si="1"/>
        <v>0.3000000000000001</v>
      </c>
      <c r="U32">
        <f>($P$3*EXP(-$Q$3*T32)*SIN(2*PI()*T32/$R$3)+$S$3)</f>
        <v>4.3460010459877747</v>
      </c>
      <c r="W32">
        <f t="shared" si="2"/>
        <v>0.3000000000000001</v>
      </c>
      <c r="X32">
        <v>0</v>
      </c>
      <c r="Y32">
        <v>571</v>
      </c>
    </row>
    <row r="33" spans="1:25" x14ac:dyDescent="0.3">
      <c r="A33">
        <v>0.51028732665229404</v>
      </c>
      <c r="B33">
        <v>0.32095890333929322</v>
      </c>
      <c r="C33">
        <f t="shared" si="0"/>
        <v>0.18932842331300082</v>
      </c>
      <c r="D33">
        <v>16.899999999999999</v>
      </c>
      <c r="T33">
        <f t="shared" si="1"/>
        <v>0.31000000000000011</v>
      </c>
      <c r="U33">
        <f>($P$3*EXP(-$Q$3*T33)*SIN(2*PI()*T33/$R$3)+$S$3)</f>
        <v>4.3881373529728682</v>
      </c>
      <c r="W33">
        <f t="shared" si="2"/>
        <v>0.31000000000000011</v>
      </c>
      <c r="X33">
        <v>0</v>
      </c>
      <c r="Y33">
        <v>570</v>
      </c>
    </row>
    <row r="34" spans="1:25" x14ac:dyDescent="0.3">
      <c r="A34">
        <v>0.79328755910737081</v>
      </c>
      <c r="B34">
        <v>0.5690897338490204</v>
      </c>
      <c r="C34">
        <f t="shared" si="0"/>
        <v>0.22419782525835041</v>
      </c>
      <c r="D34">
        <v>16.8</v>
      </c>
      <c r="T34">
        <f t="shared" si="1"/>
        <v>0.32000000000000012</v>
      </c>
      <c r="U34">
        <f>($P$3*EXP(-$Q$3*T34)*SIN(2*PI()*T34/$R$3)+$S$3)</f>
        <v>4.422307000319579</v>
      </c>
      <c r="W34">
        <f t="shared" si="2"/>
        <v>0.32000000000000012</v>
      </c>
      <c r="X34">
        <v>0</v>
      </c>
      <c r="Y34">
        <v>569</v>
      </c>
    </row>
    <row r="35" spans="1:25" x14ac:dyDescent="0.3">
      <c r="A35">
        <v>0.76218230900128681</v>
      </c>
      <c r="B35">
        <v>0.70678086659981476</v>
      </c>
      <c r="C35">
        <f t="shared" si="0"/>
        <v>5.5401442401472045E-2</v>
      </c>
      <c r="D35">
        <v>16.7</v>
      </c>
      <c r="T35">
        <f t="shared" si="1"/>
        <v>0.33000000000000013</v>
      </c>
      <c r="U35">
        <f>($P$3*EXP(-$Q$3*T35)*SIN(2*PI()*T35/$R$3)+$S$3)</f>
        <v>4.4484975726600444</v>
      </c>
      <c r="W35">
        <f t="shared" si="2"/>
        <v>0.33000000000000013</v>
      </c>
      <c r="X35">
        <v>0</v>
      </c>
      <c r="Y35">
        <v>568</v>
      </c>
    </row>
    <row r="36" spans="1:25" x14ac:dyDescent="0.3">
      <c r="A36">
        <v>0.45258425860568458</v>
      </c>
      <c r="B36">
        <v>0.71723912672227785</v>
      </c>
      <c r="C36">
        <f t="shared" si="0"/>
        <v>-0.26465486811659328</v>
      </c>
      <c r="D36">
        <v>16.600000000000001</v>
      </c>
      <c r="T36">
        <f t="shared" si="1"/>
        <v>0.34000000000000014</v>
      </c>
      <c r="U36">
        <f>($P$3*EXP(-$Q$3*T36)*SIN(2*PI()*T36/$R$3)+$S$3)</f>
        <v>4.4667107565699551</v>
      </c>
      <c r="W36">
        <f t="shared" si="2"/>
        <v>0.34000000000000014</v>
      </c>
      <c r="X36">
        <v>0</v>
      </c>
      <c r="Y36">
        <v>567</v>
      </c>
    </row>
    <row r="37" spans="1:25" x14ac:dyDescent="0.3">
      <c r="A37">
        <v>6.3444756765225314E-16</v>
      </c>
      <c r="B37">
        <v>0.60610996094681224</v>
      </c>
      <c r="C37">
        <f t="shared" si="0"/>
        <v>-0.60610996094681158</v>
      </c>
      <c r="D37">
        <v>16.5</v>
      </c>
      <c r="T37">
        <f t="shared" si="1"/>
        <v>0.35000000000000014</v>
      </c>
      <c r="U37">
        <f>($P$3*EXP(-$Q$3*T37)*SIN(2*PI()*T37/$R$3)+$S$3)</f>
        <v>4.4769622532451434</v>
      </c>
      <c r="W37">
        <f t="shared" si="2"/>
        <v>0.35000000000000014</v>
      </c>
      <c r="X37">
        <v>0</v>
      </c>
      <c r="Y37">
        <v>566</v>
      </c>
    </row>
    <row r="38" spans="1:25" x14ac:dyDescent="0.3">
      <c r="A38">
        <v>-0.41778792723618285</v>
      </c>
      <c r="B38">
        <v>0.39921848343721145</v>
      </c>
      <c r="C38">
        <f t="shared" si="0"/>
        <v>-0.8170064106733943</v>
      </c>
      <c r="D38">
        <v>16.399999999999999</v>
      </c>
      <c r="T38">
        <f t="shared" si="1"/>
        <v>0.36000000000000015</v>
      </c>
      <c r="U38">
        <f>($P$3*EXP(-$Q$3*T38)*SIN(2*PI()*T38/$R$3)+$S$3)</f>
        <v>4.4792816670619988</v>
      </c>
      <c r="W38">
        <f t="shared" si="2"/>
        <v>0.36000000000000015</v>
      </c>
      <c r="X38">
        <v>0</v>
      </c>
      <c r="Y38">
        <v>565</v>
      </c>
    </row>
    <row r="39" spans="1:25" x14ac:dyDescent="0.3">
      <c r="A39">
        <v>-0.64948892067537167</v>
      </c>
      <c r="B39">
        <v>0.1370383216425734</v>
      </c>
      <c r="C39">
        <f t="shared" si="0"/>
        <v>-0.78652724231794502</v>
      </c>
      <c r="D39">
        <v>16.3</v>
      </c>
      <c r="T39">
        <f t="shared" si="1"/>
        <v>0.37000000000000016</v>
      </c>
      <c r="U39">
        <f>($P$3*EXP(-$Q$3*T39)*SIN(2*PI()*T39/$R$3)+$S$3)</f>
        <v>4.4737123703619481</v>
      </c>
      <c r="W39">
        <f t="shared" si="2"/>
        <v>0.37000000000000016</v>
      </c>
      <c r="X39">
        <v>0</v>
      </c>
      <c r="Y39">
        <v>564</v>
      </c>
    </row>
    <row r="40" spans="1:25" x14ac:dyDescent="0.3">
      <c r="A40">
        <v>-0.62402209583133861</v>
      </c>
      <c r="B40">
        <v>-0.13298822716301847</v>
      </c>
      <c r="C40">
        <f t="shared" si="0"/>
        <v>-0.49103386866832011</v>
      </c>
      <c r="D40">
        <v>16.2</v>
      </c>
      <c r="T40">
        <f t="shared" si="1"/>
        <v>0.38000000000000017</v>
      </c>
      <c r="U40">
        <f>($P$3*EXP(-$Q$3*T40)*SIN(2*PI()*T40/$R$3)+$S$3)</f>
        <v>4.4603113448399139</v>
      </c>
      <c r="W40">
        <f t="shared" si="2"/>
        <v>0.38000000000000017</v>
      </c>
      <c r="X40">
        <v>0</v>
      </c>
      <c r="Y40">
        <v>563</v>
      </c>
    </row>
    <row r="41" spans="1:25" x14ac:dyDescent="0.3">
      <c r="A41">
        <v>-0.37054465087947225</v>
      </c>
      <c r="B41">
        <v>-0.36485822174995225</v>
      </c>
      <c r="C41">
        <f t="shared" si="0"/>
        <v>-5.6864291295199987E-3</v>
      </c>
      <c r="D41">
        <v>16.100000000000001</v>
      </c>
      <c r="T41">
        <f t="shared" si="1"/>
        <v>0.39000000000000018</v>
      </c>
      <c r="U41">
        <f>($P$3*EXP(-$Q$3*T41)*SIN(2*PI()*T41/$R$3)+$S$3)</f>
        <v>4.4391489999555569</v>
      </c>
      <c r="W41">
        <f t="shared" si="2"/>
        <v>0.39000000000000018</v>
      </c>
      <c r="X41">
        <v>0</v>
      </c>
      <c r="Y41">
        <v>562</v>
      </c>
    </row>
    <row r="42" spans="1:25" x14ac:dyDescent="0.3">
      <c r="A42">
        <v>-5.9364769697419789E-16</v>
      </c>
      <c r="B42">
        <v>-0.52168367797760073</v>
      </c>
      <c r="C42">
        <f t="shared" si="0"/>
        <v>0.52168367797760018</v>
      </c>
      <c r="D42">
        <v>16</v>
      </c>
      <c r="T42">
        <f t="shared" si="1"/>
        <v>0.40000000000000019</v>
      </c>
      <c r="U42">
        <f>($P$3*EXP(-$Q$3*T42)*SIN(2*PI()*T42/$R$3)+$S$3)</f>
        <v>4.4103089688240207</v>
      </c>
      <c r="W42">
        <f t="shared" si="2"/>
        <v>0.40000000000000019</v>
      </c>
      <c r="X42">
        <v>0</v>
      </c>
      <c r="Y42">
        <v>561</v>
      </c>
    </row>
    <row r="43" spans="1:25" x14ac:dyDescent="0.3">
      <c r="A43">
        <v>0.34205582429296738</v>
      </c>
      <c r="B43">
        <v>-0.58138273671449314</v>
      </c>
      <c r="C43">
        <f t="shared" si="0"/>
        <v>0.92343856100746047</v>
      </c>
      <c r="D43">
        <v>15.9</v>
      </c>
      <c r="T43">
        <f t="shared" si="1"/>
        <v>0.4100000000000002</v>
      </c>
      <c r="U43">
        <f>($P$3*EXP(-$Q$3*T43)*SIN(2*PI()*T43/$R$3)+$S$3)</f>
        <v>4.3738878820796989</v>
      </c>
      <c r="W43">
        <f t="shared" si="2"/>
        <v>0.4100000000000002</v>
      </c>
      <c r="X43">
        <v>0</v>
      </c>
      <c r="Y43">
        <v>560</v>
      </c>
    </row>
    <row r="44" spans="1:25" x14ac:dyDescent="0.3">
      <c r="A44">
        <v>0.53175655314035275</v>
      </c>
      <c r="B44">
        <v>-0.53954202055192968</v>
      </c>
      <c r="C44">
        <f t="shared" si="0"/>
        <v>1.0712985736922824</v>
      </c>
      <c r="D44">
        <v>15.8</v>
      </c>
      <c r="T44">
        <f t="shared" si="1"/>
        <v>0.42000000000000021</v>
      </c>
      <c r="U44">
        <f>($P$3*EXP(-$Q$3*T44)*SIN(2*PI()*T44/$R$3)+$S$3)</f>
        <v>4.3299951202423781</v>
      </c>
      <c r="W44">
        <f t="shared" si="2"/>
        <v>0.42000000000000021</v>
      </c>
      <c r="X44">
        <v>0</v>
      </c>
      <c r="Y44">
        <v>559</v>
      </c>
    </row>
    <row r="45" spans="1:25" x14ac:dyDescent="0.3">
      <c r="A45">
        <v>0.51090608045729247</v>
      </c>
      <c r="B45">
        <v>-0.40913211611652006</v>
      </c>
      <c r="C45">
        <f t="shared" si="0"/>
        <v>0.92003819657381247</v>
      </c>
      <c r="D45">
        <v>15.7</v>
      </c>
      <c r="T45">
        <f t="shared" si="1"/>
        <v>0.43000000000000022</v>
      </c>
      <c r="U45">
        <f>($P$3*EXP(-$Q$3*T45)*SIN(2*PI()*T45/$R$3)+$S$3)</f>
        <v>4.2787525451496977</v>
      </c>
      <c r="W45">
        <f t="shared" si="2"/>
        <v>0.43000000000000022</v>
      </c>
      <c r="X45">
        <v>0</v>
      </c>
      <c r="Y45">
        <v>558</v>
      </c>
    </row>
    <row r="46" spans="1:25" x14ac:dyDescent="0.3">
      <c r="A46">
        <v>0.30337630106356667</v>
      </c>
      <c r="B46">
        <v>-0.21730743193726013</v>
      </c>
      <c r="C46">
        <f t="shared" si="0"/>
        <v>0.52068373300082682</v>
      </c>
      <c r="D46">
        <v>15.6</v>
      </c>
      <c r="T46">
        <f t="shared" si="1"/>
        <v>0.44000000000000022</v>
      </c>
      <c r="U46">
        <f>($P$3*EXP(-$Q$3*T46)*SIN(2*PI()*T46/$R$3)+$S$3)</f>
        <v>4.2202942110533144</v>
      </c>
      <c r="W46">
        <f t="shared" si="2"/>
        <v>0.44000000000000022</v>
      </c>
      <c r="X46">
        <v>0</v>
      </c>
      <c r="Y46">
        <v>557</v>
      </c>
    </row>
    <row r="47" spans="1:25" x14ac:dyDescent="0.3">
      <c r="A47">
        <v>5.4679232925753144E-16</v>
      </c>
      <c r="B47">
        <v>-3.8112936573650638E-16</v>
      </c>
      <c r="C47">
        <f t="shared" si="0"/>
        <v>9.2792169499403778E-16</v>
      </c>
      <c r="D47">
        <v>15.5</v>
      </c>
      <c r="T47">
        <f t="shared" si="1"/>
        <v>0.45000000000000023</v>
      </c>
      <c r="U47">
        <f>($P$3*EXP(-$Q$3*T47)*SIN(2*PI()*T47/$R$3)+$S$3)</f>
        <v>4.154766056008329</v>
      </c>
      <c r="W47">
        <f t="shared" si="2"/>
        <v>0.45000000000000023</v>
      </c>
      <c r="X47">
        <v>0</v>
      </c>
      <c r="Y47">
        <v>556</v>
      </c>
    </row>
    <row r="48" spans="1:25" x14ac:dyDescent="0.3">
      <c r="A48">
        <v>-0.28005162261809097</v>
      </c>
      <c r="B48">
        <v>0.20465243228278401</v>
      </c>
      <c r="C48">
        <f t="shared" si="0"/>
        <v>-0.48470405490087498</v>
      </c>
      <c r="D48">
        <v>15.4</v>
      </c>
      <c r="T48">
        <f t="shared" si="1"/>
        <v>0.46000000000000024</v>
      </c>
      <c r="U48">
        <f>($P$3*EXP(-$Q$3*T48)*SIN(2*PI()*T48/$R$3)+$S$3)</f>
        <v>4.0823255742164273</v>
      </c>
      <c r="W48">
        <f t="shared" si="2"/>
        <v>0.46000000000000024</v>
      </c>
      <c r="X48">
        <v>0</v>
      </c>
      <c r="Y48">
        <v>555</v>
      </c>
    </row>
    <row r="49" spans="1:25" x14ac:dyDescent="0.3">
      <c r="A49">
        <v>-0.43536544320675291</v>
      </c>
      <c r="B49">
        <v>0.36286763510107822</v>
      </c>
      <c r="C49">
        <f t="shared" si="0"/>
        <v>-0.79823307830783108</v>
      </c>
      <c r="D49">
        <v>15.3</v>
      </c>
      <c r="T49">
        <f t="shared" si="1"/>
        <v>0.47000000000000025</v>
      </c>
      <c r="U49">
        <f>($P$3*EXP(-$Q$3*T49)*SIN(2*PI()*T49/$R$3)+$S$3)</f>
        <v>4.0031414700126966</v>
      </c>
      <c r="W49">
        <f t="shared" si="2"/>
        <v>0.47000000000000025</v>
      </c>
      <c r="X49">
        <v>0</v>
      </c>
      <c r="Y49">
        <v>554</v>
      </c>
    </row>
    <row r="50" spans="1:25" x14ac:dyDescent="0.3">
      <c r="A50">
        <v>-0.41829452000491912</v>
      </c>
      <c r="B50">
        <v>0.45066337757167496</v>
      </c>
      <c r="C50">
        <f t="shared" si="0"/>
        <v>-0.86895789757659414</v>
      </c>
      <c r="D50">
        <v>15.2</v>
      </c>
      <c r="T50">
        <f t="shared" si="1"/>
        <v>0.48000000000000026</v>
      </c>
      <c r="U50">
        <f>($P$3*EXP(-$Q$3*T50)*SIN(2*PI()*T50/$R$3)+$S$3)</f>
        <v>3.9173932942142473</v>
      </c>
      <c r="W50">
        <f t="shared" si="2"/>
        <v>0.48000000000000026</v>
      </c>
      <c r="X50">
        <v>0</v>
      </c>
      <c r="Y50">
        <v>553</v>
      </c>
    </row>
    <row r="51" spans="1:25" x14ac:dyDescent="0.3">
      <c r="A51">
        <v>-0.2483835074357866</v>
      </c>
      <c r="B51">
        <v>0.45733185864274084</v>
      </c>
      <c r="C51">
        <f t="shared" si="0"/>
        <v>-0.70571536607852747</v>
      </c>
      <c r="D51">
        <v>15.1</v>
      </c>
      <c r="T51">
        <f t="shared" si="1"/>
        <v>0.49000000000000027</v>
      </c>
      <c r="U51">
        <f>($P$3*EXP(-$Q$3*T51)*SIN(2*PI()*T51/$R$3)+$S$3)</f>
        <v>3.8252710635754656</v>
      </c>
      <c r="W51">
        <f t="shared" si="2"/>
        <v>0.49000000000000027</v>
      </c>
      <c r="X51">
        <v>0</v>
      </c>
      <c r="Y51">
        <v>552</v>
      </c>
    </row>
    <row r="52" spans="1:25" x14ac:dyDescent="0.3">
      <c r="A52">
        <v>-4.9741743945586956E-16</v>
      </c>
      <c r="B52">
        <v>0.38647277407806074</v>
      </c>
      <c r="C52">
        <f t="shared" si="0"/>
        <v>-0.38647277407806124</v>
      </c>
      <c r="D52">
        <v>15</v>
      </c>
      <c r="T52">
        <f t="shared" si="1"/>
        <v>0.50000000000000022</v>
      </c>
      <c r="U52">
        <f>($P$3*EXP(-$Q$3*T52)*SIN(2*PI()*T52/$R$3)+$S$3)</f>
        <v>3.7269748641199874</v>
      </c>
      <c r="W52">
        <f t="shared" si="2"/>
        <v>0.50000000000000022</v>
      </c>
      <c r="X52">
        <v>0</v>
      </c>
      <c r="Y52">
        <v>551</v>
      </c>
    </row>
    <row r="53" spans="1:25" x14ac:dyDescent="0.3">
      <c r="A53">
        <v>0.22928687588682031</v>
      </c>
      <c r="B53">
        <v>0.25455294368731807</v>
      </c>
      <c r="C53">
        <f t="shared" si="0"/>
        <v>-2.5266067800497755E-2</v>
      </c>
      <c r="D53">
        <v>14.9</v>
      </c>
      <c r="T53">
        <f t="shared" si="1"/>
        <v>0.51000000000000023</v>
      </c>
      <c r="U53">
        <f>($P$3*EXP(-$Q$3*T53)*SIN(2*PI()*T53/$R$3)+$S$3)</f>
        <v>3.6227144391431758</v>
      </c>
      <c r="W53">
        <f t="shared" si="2"/>
        <v>0.51000000000000023</v>
      </c>
      <c r="X53">
        <v>0</v>
      </c>
      <c r="Y53">
        <v>550</v>
      </c>
    </row>
    <row r="54" spans="1:25" x14ac:dyDescent="0.3">
      <c r="A54">
        <v>0.3564470771807941</v>
      </c>
      <c r="B54">
        <v>8.7379491730304945E-2</v>
      </c>
      <c r="C54">
        <f t="shared" si="0"/>
        <v>0.26906758545048914</v>
      </c>
      <c r="D54">
        <v>14.8</v>
      </c>
      <c r="T54">
        <f t="shared" si="1"/>
        <v>0.52000000000000024</v>
      </c>
      <c r="U54">
        <f>($P$3*EXP(-$Q$3*T54)*SIN(2*PI()*T54/$R$3)+$S$3)</f>
        <v>3.5127087627011675</v>
      </c>
      <c r="W54">
        <f t="shared" si="2"/>
        <v>0.52000000000000024</v>
      </c>
      <c r="X54">
        <v>0</v>
      </c>
      <c r="Y54">
        <v>549</v>
      </c>
    </row>
    <row r="55" spans="1:25" x14ac:dyDescent="0.3">
      <c r="A55">
        <v>0.34247058737202074</v>
      </c>
      <c r="B55">
        <v>-8.4797037473411163E-2</v>
      </c>
      <c r="C55">
        <f t="shared" si="0"/>
        <v>0.4272676248454319</v>
      </c>
      <c r="D55">
        <v>14.7</v>
      </c>
      <c r="T55">
        <f t="shared" si="1"/>
        <v>0.53000000000000025</v>
      </c>
      <c r="U55">
        <f>($P$3*EXP(-$Q$3*T55)*SIN(2*PI()*T55/$R$3)+$S$3)</f>
        <v>3.3971855994230991</v>
      </c>
      <c r="W55">
        <f t="shared" si="2"/>
        <v>0.53000000000000025</v>
      </c>
      <c r="X55">
        <v>0</v>
      </c>
      <c r="Y55">
        <v>548</v>
      </c>
    </row>
    <row r="56" spans="1:25" x14ac:dyDescent="0.3">
      <c r="A56">
        <v>0.20335921609505311</v>
      </c>
      <c r="B56">
        <v>-0.23264387353842905</v>
      </c>
      <c r="C56">
        <f t="shared" si="0"/>
        <v>0.43600308963348217</v>
      </c>
      <c r="D56">
        <v>14.6</v>
      </c>
      <c r="T56">
        <f t="shared" si="1"/>
        <v>0.54000000000000026</v>
      </c>
      <c r="U56">
        <f>($P$3*EXP(-$Q$3*T56)*SIN(2*PI()*T56/$R$3)+$S$3)</f>
        <v>3.2763810515022134</v>
      </c>
      <c r="W56">
        <f t="shared" si="2"/>
        <v>0.54000000000000026</v>
      </c>
      <c r="X56">
        <v>0</v>
      </c>
      <c r="Y56">
        <v>547</v>
      </c>
    </row>
    <row r="57" spans="1:25" x14ac:dyDescent="0.3">
      <c r="A57">
        <v>1.6289317393842928E-15</v>
      </c>
      <c r="B57">
        <v>-0.33264019932010591</v>
      </c>
      <c r="C57">
        <f t="shared" si="0"/>
        <v>0.33264019932010752</v>
      </c>
      <c r="D57">
        <v>14.5</v>
      </c>
      <c r="T57">
        <f t="shared" si="1"/>
        <v>0.55000000000000027</v>
      </c>
      <c r="U57">
        <f>($P$3*EXP(-$Q$3*T57)*SIN(2*PI()*T57/$R$3)+$S$3)</f>
        <v>3.150539093738975</v>
      </c>
      <c r="W57">
        <f t="shared" si="2"/>
        <v>0.55000000000000027</v>
      </c>
      <c r="X57">
        <v>0</v>
      </c>
      <c r="Y57">
        <v>546</v>
      </c>
    </row>
    <row r="58" spans="1:25" x14ac:dyDescent="0.3">
      <c r="A58">
        <v>-0.18772421656571511</v>
      </c>
      <c r="B58">
        <v>-0.37070599979607033</v>
      </c>
      <c r="C58">
        <f t="shared" si="0"/>
        <v>0.18298178323035522</v>
      </c>
      <c r="D58">
        <v>14.4</v>
      </c>
      <c r="T58">
        <f t="shared" si="1"/>
        <v>0.56000000000000028</v>
      </c>
      <c r="U58">
        <f>($P$3*EXP(-$Q$3*T58)*SIN(2*PI()*T58/$R$3)+$S$3)</f>
        <v>3.0199110975250671</v>
      </c>
      <c r="W58">
        <f t="shared" si="2"/>
        <v>0.56000000000000028</v>
      </c>
      <c r="X58">
        <v>0</v>
      </c>
      <c r="Y58">
        <v>545</v>
      </c>
    </row>
    <row r="59" spans="1:25" x14ac:dyDescent="0.3">
      <c r="A59">
        <v>-0.29183418393267735</v>
      </c>
      <c r="B59">
        <v>-0.34402718128680343</v>
      </c>
      <c r="C59">
        <f t="shared" si="0"/>
        <v>5.2192997354126081E-2</v>
      </c>
      <c r="D59">
        <v>14.3</v>
      </c>
      <c r="T59">
        <f t="shared" si="1"/>
        <v>0.57000000000000028</v>
      </c>
      <c r="U59">
        <f>($P$3*EXP(-$Q$3*T59)*SIN(2*PI()*T59/$R$3)+$S$3)</f>
        <v>2.8847553446713023</v>
      </c>
      <c r="W59">
        <f t="shared" si="2"/>
        <v>0.57000000000000028</v>
      </c>
      <c r="X59">
        <v>0</v>
      </c>
      <c r="Y59">
        <v>544</v>
      </c>
    </row>
    <row r="60" spans="1:25" x14ac:dyDescent="0.3">
      <c r="A60">
        <v>-0.28039120190615302</v>
      </c>
      <c r="B60">
        <v>-0.26087415496848143</v>
      </c>
      <c r="C60">
        <f t="shared" si="0"/>
        <v>-1.9517046937671589E-2</v>
      </c>
      <c r="D60">
        <v>14.2</v>
      </c>
      <c r="T60">
        <f t="shared" si="1"/>
        <v>0.58000000000000029</v>
      </c>
      <c r="U60">
        <f>($P$3*EXP(-$Q$3*T60)*SIN(2*PI()*T60/$R$3)+$S$3)</f>
        <v>2.7453365319949166</v>
      </c>
      <c r="W60">
        <f t="shared" si="2"/>
        <v>0.58000000000000029</v>
      </c>
      <c r="X60">
        <v>0</v>
      </c>
      <c r="Y60">
        <v>543</v>
      </c>
    </row>
    <row r="61" spans="1:25" x14ac:dyDescent="0.3">
      <c r="A61">
        <v>-0.16649644413885006</v>
      </c>
      <c r="B61">
        <v>-0.13856133615982957</v>
      </c>
      <c r="C61">
        <f t="shared" si="0"/>
        <v>-2.793510797902049E-2</v>
      </c>
      <c r="D61">
        <v>14.1</v>
      </c>
      <c r="T61">
        <f t="shared" si="1"/>
        <v>0.5900000000000003</v>
      </c>
      <c r="U61">
        <f>($P$3*EXP(-$Q$3*T61)*SIN(2*PI()*T61/$R$3)+$S$3)</f>
        <v>2.60192526759249</v>
      </c>
      <c r="W61">
        <f t="shared" si="2"/>
        <v>0.5900000000000003</v>
      </c>
      <c r="X61">
        <v>0</v>
      </c>
      <c r="Y61">
        <v>542</v>
      </c>
    </row>
    <row r="62" spans="1:25" x14ac:dyDescent="0.3">
      <c r="A62">
        <v>-4.0011465709798579E-16</v>
      </c>
      <c r="B62">
        <v>-3.2402508400446312E-16</v>
      </c>
      <c r="C62">
        <f t="shared" si="0"/>
        <v>-7.6089573093522673E-17</v>
      </c>
      <c r="D62">
        <v>14</v>
      </c>
      <c r="T62">
        <f t="shared" si="1"/>
        <v>0.60000000000000031</v>
      </c>
      <c r="U62">
        <f>($P$3*EXP(-$Q$3*T62)*SIN(2*PI()*T62/$R$3)+$S$3)</f>
        <v>2.4547975597338052</v>
      </c>
      <c r="W62">
        <f t="shared" si="2"/>
        <v>0.60000000000000031</v>
      </c>
      <c r="X62">
        <v>0</v>
      </c>
      <c r="Y62">
        <v>541</v>
      </c>
    </row>
    <row r="63" spans="1:25" x14ac:dyDescent="0.3">
      <c r="A63">
        <v>0.15369558919982129</v>
      </c>
      <c r="B63">
        <v>0.13049215212137164</v>
      </c>
      <c r="C63">
        <f t="shared" si="0"/>
        <v>2.3203437078449657E-2</v>
      </c>
      <c r="D63">
        <v>13.9</v>
      </c>
      <c r="T63">
        <f t="shared" si="1"/>
        <v>0.61000000000000032</v>
      </c>
      <c r="U63">
        <f>($P$3*EXP(-$Q$3*T63)*SIN(2*PI()*T63/$R$3)+$S$3)</f>
        <v>2.3042342993193512</v>
      </c>
      <c r="W63">
        <f t="shared" si="2"/>
        <v>0.61000000000000032</v>
      </c>
      <c r="X63">
        <v>0</v>
      </c>
      <c r="Y63">
        <v>540</v>
      </c>
    </row>
    <row r="64" spans="1:25" x14ac:dyDescent="0.3">
      <c r="A64">
        <v>0.23893362118509887</v>
      </c>
      <c r="B64">
        <v>0.23137461945286461</v>
      </c>
      <c r="C64">
        <f t="shared" si="0"/>
        <v>7.5590017322342551E-3</v>
      </c>
      <c r="D64">
        <v>13.8</v>
      </c>
      <c r="T64">
        <f t="shared" si="1"/>
        <v>0.62000000000000033</v>
      </c>
      <c r="U64">
        <f>($P$3*EXP(-$Q$3*T64)*SIN(2*PI()*T64/$R$3)+$S$3)</f>
        <v>2.1505207368498356</v>
      </c>
      <c r="W64">
        <f t="shared" si="2"/>
        <v>0.62000000000000033</v>
      </c>
      <c r="X64">
        <v>0</v>
      </c>
      <c r="Y64">
        <v>539</v>
      </c>
    </row>
    <row r="65" spans="1:25" x14ac:dyDescent="0.3">
      <c r="A65">
        <v>0.22956489989306542</v>
      </c>
      <c r="B65">
        <v>0.28735565644465211</v>
      </c>
      <c r="C65">
        <f t="shared" si="0"/>
        <v>-5.7790756551586692E-2</v>
      </c>
      <c r="D65">
        <v>13.7</v>
      </c>
      <c r="T65">
        <f t="shared" si="1"/>
        <v>0.63000000000000034</v>
      </c>
      <c r="U65">
        <f>($P$3*EXP(-$Q$3*T65)*SIN(2*PI()*T65/$R$3)+$S$3)</f>
        <v>1.9939459548600549</v>
      </c>
      <c r="W65">
        <f t="shared" si="2"/>
        <v>0.63000000000000034</v>
      </c>
      <c r="X65">
        <v>0</v>
      </c>
      <c r="Y65">
        <v>538</v>
      </c>
    </row>
    <row r="66" spans="1:25" x14ac:dyDescent="0.3">
      <c r="A66">
        <v>0.1363157590946075</v>
      </c>
      <c r="B66">
        <v>0.29160766770412111</v>
      </c>
      <c r="C66">
        <f t="shared" si="0"/>
        <v>-0.15529190860951361</v>
      </c>
      <c r="D66">
        <v>13.6</v>
      </c>
      <c r="T66">
        <f t="shared" si="1"/>
        <v>0.64000000000000035</v>
      </c>
      <c r="U66">
        <f>($P$3*EXP(-$Q$3*T66)*SIN(2*PI()*T66/$R$3)+$S$3)</f>
        <v>1.8348023367717472</v>
      </c>
      <c r="W66">
        <f t="shared" si="2"/>
        <v>0.64000000000000035</v>
      </c>
      <c r="X66">
        <v>0</v>
      </c>
      <c r="Y66">
        <v>537</v>
      </c>
    </row>
    <row r="67" spans="1:25" x14ac:dyDescent="0.3">
      <c r="A67">
        <v>-4.3673324948624833E-16</v>
      </c>
      <c r="B67">
        <v>0.2464259205875331</v>
      </c>
      <c r="C67">
        <f t="shared" ref="C67:C130" si="3">A67-B67</f>
        <v>-0.24642592058753354</v>
      </c>
      <c r="D67">
        <v>13.5</v>
      </c>
      <c r="T67">
        <f t="shared" si="1"/>
        <v>0.65000000000000036</v>
      </c>
      <c r="U67">
        <f>($P$3*EXP(-$Q$3*T67)*SIN(2*PI()*T67/$R$3)+$S$3)</f>
        <v>1.6733850331206386</v>
      </c>
      <c r="W67">
        <f t="shared" si="2"/>
        <v>0.65000000000000036</v>
      </c>
      <c r="X67">
        <v>0</v>
      </c>
      <c r="Y67">
        <v>536</v>
      </c>
    </row>
    <row r="68" spans="1:25" x14ac:dyDescent="0.3">
      <c r="A68">
        <v>-0.12583530549033439</v>
      </c>
      <c r="B68">
        <v>0.16231012297322525</v>
      </c>
      <c r="C68">
        <f t="shared" si="3"/>
        <v>-0.28814542846355962</v>
      </c>
      <c r="D68">
        <v>13.4</v>
      </c>
      <c r="T68">
        <f t="shared" ref="T68:T102" si="4">T67+0.01</f>
        <v>0.66000000000000036</v>
      </c>
      <c r="U68">
        <f>($P$3*EXP(-$Q$3*T68)*SIN(2*PI()*T68/$R$3)+$S$3)</f>
        <v>1.5099914261117888</v>
      </c>
      <c r="W68">
        <f t="shared" ref="W68:W131" si="5">W67+0.01</f>
        <v>0.66000000000000036</v>
      </c>
      <c r="X68">
        <v>0</v>
      </c>
      <c r="Y68">
        <v>535</v>
      </c>
    </row>
    <row r="69" spans="1:25" x14ac:dyDescent="0.3">
      <c r="A69">
        <v>-0.19562230360852553</v>
      </c>
      <c r="B69">
        <v>5.5715623801643514E-2</v>
      </c>
      <c r="C69">
        <f t="shared" si="3"/>
        <v>-0.25133792741016903</v>
      </c>
      <c r="D69">
        <v>13.3</v>
      </c>
      <c r="T69">
        <f t="shared" si="4"/>
        <v>0.67000000000000037</v>
      </c>
      <c r="U69">
        <f>($P$3*EXP(-$Q$3*T69)*SIN(2*PI()*T69/$R$3)+$S$3)</f>
        <v>1.3449205934545887</v>
      </c>
      <c r="W69">
        <f t="shared" si="5"/>
        <v>0.67000000000000037</v>
      </c>
      <c r="X69">
        <v>0</v>
      </c>
      <c r="Y69">
        <v>534</v>
      </c>
    </row>
    <row r="70" spans="1:25" x14ac:dyDescent="0.3">
      <c r="A70">
        <v>-0.18795184336972071</v>
      </c>
      <c r="B70">
        <v>-5.4068978267174231E-2</v>
      </c>
      <c r="C70">
        <f t="shared" si="3"/>
        <v>-0.13388286510254649</v>
      </c>
      <c r="D70">
        <v>13.2</v>
      </c>
      <c r="T70">
        <f t="shared" si="4"/>
        <v>0.68000000000000038</v>
      </c>
      <c r="U70">
        <f>($P$3*EXP(-$Q$3*T70)*SIN(2*PI()*T70/$R$3)+$S$3)</f>
        <v>1.1784727724243076</v>
      </c>
      <c r="W70">
        <f t="shared" si="5"/>
        <v>0.68000000000000038</v>
      </c>
      <c r="X70">
        <v>0</v>
      </c>
      <c r="Y70">
        <v>533</v>
      </c>
    </row>
    <row r="71" spans="1:25" x14ac:dyDescent="0.3">
      <c r="A71">
        <v>-0.11160590409992424</v>
      </c>
      <c r="B71">
        <v>-0.14834028307043881</v>
      </c>
      <c r="C71">
        <f t="shared" si="3"/>
        <v>3.673437897051457E-2</v>
      </c>
      <c r="D71">
        <v>13.1</v>
      </c>
      <c r="T71">
        <f t="shared" si="4"/>
        <v>0.69000000000000039</v>
      </c>
      <c r="U71">
        <f>($P$3*EXP(-$Q$3*T71)*SIN(2*PI()*T71/$R$3)+$S$3)</f>
        <v>1.0109488250910885</v>
      </c>
      <c r="W71">
        <f t="shared" si="5"/>
        <v>0.69000000000000039</v>
      </c>
      <c r="X71">
        <v>0</v>
      </c>
      <c r="Y71">
        <v>532</v>
      </c>
    </row>
    <row r="72" spans="1:25" x14ac:dyDescent="0.3">
      <c r="A72">
        <v>-3.129056879263652E-16</v>
      </c>
      <c r="B72">
        <v>-0.21210075544757731</v>
      </c>
      <c r="C72">
        <f t="shared" si="3"/>
        <v>0.21210075544757701</v>
      </c>
      <c r="D72">
        <v>13</v>
      </c>
      <c r="T72">
        <f t="shared" si="4"/>
        <v>0.7000000000000004</v>
      </c>
      <c r="U72">
        <f>($P$3*EXP(-$Q$3*T72)*SIN(2*PI()*T72/$R$3)+$S$3)</f>
        <v>0.84264970564949337</v>
      </c>
      <c r="W72">
        <f t="shared" si="5"/>
        <v>0.7000000000000004</v>
      </c>
      <c r="X72">
        <v>0</v>
      </c>
      <c r="Y72">
        <v>531</v>
      </c>
    </row>
    <row r="73" spans="1:25" x14ac:dyDescent="0.3">
      <c r="A73">
        <v>0.10302523442789888</v>
      </c>
      <c r="B73">
        <v>-0.23637258144506973</v>
      </c>
      <c r="C73">
        <f t="shared" si="3"/>
        <v>0.33939781587296858</v>
      </c>
      <c r="D73">
        <v>12.9</v>
      </c>
      <c r="T73">
        <f t="shared" si="4"/>
        <v>0.71000000000000041</v>
      </c>
      <c r="U73">
        <f>($P$3*EXP(-$Q$3*T73)*SIN(2*PI()*T73/$R$3)+$S$3)</f>
        <v>0.673875930772595</v>
      </c>
      <c r="W73">
        <f t="shared" si="5"/>
        <v>0.71000000000000041</v>
      </c>
      <c r="X73">
        <v>0</v>
      </c>
      <c r="Y73">
        <v>530</v>
      </c>
    </row>
    <row r="74" spans="1:25" x14ac:dyDescent="0.3">
      <c r="A74">
        <v>0.16016199595225747</v>
      </c>
      <c r="B74">
        <v>-0.2193614157115534</v>
      </c>
      <c r="C74">
        <f t="shared" si="3"/>
        <v>0.37952341166381087</v>
      </c>
      <c r="D74">
        <v>12.8</v>
      </c>
      <c r="T74">
        <f t="shared" si="4"/>
        <v>0.72000000000000042</v>
      </c>
      <c r="U74">
        <f>($P$3*EXP(-$Q$3*T74)*SIN(2*PI()*T74/$R$3)+$S$3)</f>
        <v>0.50492705390356241</v>
      </c>
      <c r="W74">
        <f t="shared" si="5"/>
        <v>0.72000000000000042</v>
      </c>
      <c r="X74">
        <v>0</v>
      </c>
      <c r="Y74">
        <v>529</v>
      </c>
    </row>
    <row r="75" spans="1:25" x14ac:dyDescent="0.3">
      <c r="A75">
        <v>0.15388195426448653</v>
      </c>
      <c r="B75">
        <v>-0.16634070523844491</v>
      </c>
      <c r="C75">
        <f t="shared" si="3"/>
        <v>0.32022265950293144</v>
      </c>
      <c r="D75">
        <v>12.7</v>
      </c>
      <c r="T75">
        <f t="shared" si="4"/>
        <v>0.73000000000000043</v>
      </c>
      <c r="U75">
        <f>($P$3*EXP(-$Q$3*T75)*SIN(2*PI()*T75/$R$3)+$S$3)</f>
        <v>0.33610114438552208</v>
      </c>
      <c r="W75">
        <f t="shared" si="5"/>
        <v>0.73000000000000043</v>
      </c>
      <c r="X75">
        <v>0</v>
      </c>
      <c r="Y75">
        <v>528</v>
      </c>
    </row>
    <row r="76" spans="1:25" x14ac:dyDescent="0.3">
      <c r="A76">
        <v>9.1375185911680465E-2</v>
      </c>
      <c r="B76">
        <v>-8.8350608661835334E-2</v>
      </c>
      <c r="C76">
        <f t="shared" si="3"/>
        <v>0.17972579457351578</v>
      </c>
      <c r="D76">
        <v>12.6</v>
      </c>
      <c r="T76">
        <f t="shared" si="4"/>
        <v>0.74000000000000044</v>
      </c>
      <c r="U76">
        <f>($P$3*EXP(-$Q$3*T76)*SIN(2*PI()*T76/$R$3)+$S$3)</f>
        <v>0.16769427231636155</v>
      </c>
      <c r="W76">
        <f t="shared" si="5"/>
        <v>0.74000000000000044</v>
      </c>
      <c r="X76">
        <v>0</v>
      </c>
      <c r="Y76">
        <v>527</v>
      </c>
    </row>
    <row r="77" spans="1:25" x14ac:dyDescent="0.3">
      <c r="A77">
        <v>8.0512207093759035E-16</v>
      </c>
      <c r="B77">
        <v>-1.0071659279128718E-15</v>
      </c>
      <c r="C77">
        <f t="shared" si="3"/>
        <v>1.8122879988504621E-15</v>
      </c>
      <c r="D77">
        <v>12.5</v>
      </c>
      <c r="T77">
        <f t="shared" si="4"/>
        <v>0.75000000000000044</v>
      </c>
      <c r="U77">
        <f>($P$3*EXP(-$Q$3*T77)*SIN(2*PI()*T77/$R$3)+$S$3)</f>
        <v>-6.603098277009967E-15</v>
      </c>
      <c r="W77">
        <f t="shared" si="5"/>
        <v>0.75000000000000044</v>
      </c>
      <c r="X77">
        <v>0</v>
      </c>
      <c r="Y77">
        <v>526</v>
      </c>
    </row>
    <row r="78" spans="1:25" x14ac:dyDescent="0.3">
      <c r="A78">
        <v>-8.4349927769189662E-2</v>
      </c>
      <c r="B78">
        <v>8.3205469758297415E-2</v>
      </c>
      <c r="C78">
        <f t="shared" si="3"/>
        <v>-0.16755539752748708</v>
      </c>
      <c r="D78">
        <v>12.4</v>
      </c>
      <c r="T78">
        <f t="shared" si="4"/>
        <v>0.76000000000000045</v>
      </c>
      <c r="U78">
        <f>($P$3*EXP(-$Q$3*T78)*SIN(2*PI()*T78/$R$3)+$S$3)</f>
        <v>-0.16669111915143262</v>
      </c>
      <c r="W78">
        <f t="shared" si="5"/>
        <v>0.76000000000000045</v>
      </c>
      <c r="X78">
        <v>0</v>
      </c>
      <c r="Y78">
        <v>525</v>
      </c>
    </row>
    <row r="79" spans="1:25" x14ac:dyDescent="0.3">
      <c r="A79">
        <v>-0.13112955156046463</v>
      </c>
      <c r="B79">
        <v>0.14753097093392167</v>
      </c>
      <c r="C79">
        <f t="shared" si="3"/>
        <v>-0.27866052249438633</v>
      </c>
      <c r="D79">
        <v>12.3</v>
      </c>
      <c r="T79">
        <f t="shared" si="4"/>
        <v>0.77000000000000046</v>
      </c>
      <c r="U79">
        <f>($P$3*EXP(-$Q$3*T79)*SIN(2*PI()*T79/$R$3)+$S$3)</f>
        <v>-0.33209203342787097</v>
      </c>
      <c r="W79">
        <f t="shared" si="5"/>
        <v>0.77000000000000046</v>
      </c>
      <c r="X79">
        <v>0</v>
      </c>
      <c r="Y79">
        <v>524</v>
      </c>
    </row>
    <row r="80" spans="1:25" x14ac:dyDescent="0.3">
      <c r="A80">
        <v>-0.12598788830007449</v>
      </c>
      <c r="B80">
        <v>0.18322605607686504</v>
      </c>
      <c r="C80">
        <f t="shared" si="3"/>
        <v>-0.3092139443769395</v>
      </c>
      <c r="D80">
        <v>12.2</v>
      </c>
      <c r="T80">
        <f t="shared" si="4"/>
        <v>0.78000000000000047</v>
      </c>
      <c r="U80">
        <f>($P$3*EXP(-$Q$3*T80)*SIN(2*PI()*T80/$R$3)+$S$3)</f>
        <v>-0.49591967652757463</v>
      </c>
      <c r="W80">
        <f t="shared" si="5"/>
        <v>0.78000000000000047</v>
      </c>
      <c r="X80">
        <v>0</v>
      </c>
      <c r="Y80">
        <v>523</v>
      </c>
    </row>
    <row r="81" spans="1:25" x14ac:dyDescent="0.3">
      <c r="A81">
        <v>-7.4811674774110409E-2</v>
      </c>
      <c r="B81">
        <v>0.18593725815691489</v>
      </c>
      <c r="C81">
        <f t="shared" si="3"/>
        <v>-0.2607489329310253</v>
      </c>
      <c r="D81">
        <v>12.1</v>
      </c>
      <c r="T81">
        <f t="shared" si="4"/>
        <v>0.79000000000000048</v>
      </c>
      <c r="U81">
        <f>($P$3*EXP(-$Q$3*T81)*SIN(2*PI()*T81/$R$3)+$S$3)</f>
        <v>-0.65789544136310751</v>
      </c>
      <c r="W81">
        <f t="shared" si="5"/>
        <v>0.79000000000000048</v>
      </c>
      <c r="X81">
        <v>0</v>
      </c>
      <c r="Y81">
        <v>522</v>
      </c>
    </row>
    <row r="82" spans="1:25" x14ac:dyDescent="0.3">
      <c r="A82">
        <v>-2.3971080586927374E-16</v>
      </c>
      <c r="B82">
        <v>0.15712810425592297</v>
      </c>
      <c r="C82">
        <f t="shared" si="3"/>
        <v>-0.15712810425592322</v>
      </c>
      <c r="D82">
        <v>12</v>
      </c>
      <c r="T82">
        <f t="shared" si="4"/>
        <v>0.80000000000000049</v>
      </c>
      <c r="U82">
        <f>($P$3*EXP(-$Q$3*T82)*SIN(2*PI()*T82/$R$3)+$S$3)</f>
        <v>-0.81774564319352872</v>
      </c>
      <c r="W82">
        <f t="shared" si="5"/>
        <v>0.80000000000000049</v>
      </c>
      <c r="X82">
        <v>0</v>
      </c>
      <c r="Y82">
        <v>521</v>
      </c>
    </row>
    <row r="83" spans="1:25" x14ac:dyDescent="0.3">
      <c r="A83">
        <v>6.9059879884541667E-2</v>
      </c>
      <c r="B83">
        <v>0.10349350370092038</v>
      </c>
      <c r="C83">
        <f t="shared" si="3"/>
        <v>-3.4433623816378711E-2</v>
      </c>
      <c r="D83">
        <v>11.9</v>
      </c>
      <c r="T83">
        <f t="shared" si="4"/>
        <v>0.8100000000000005</v>
      </c>
      <c r="U83">
        <f>($P$3*EXP(-$Q$3*T83)*SIN(2*PI()*T83/$R$3)+$S$3)</f>
        <v>-0.97520197133229869</v>
      </c>
      <c r="W83">
        <f t="shared" si="5"/>
        <v>0.8100000000000005</v>
      </c>
      <c r="X83">
        <v>0</v>
      </c>
      <c r="Y83">
        <v>520</v>
      </c>
    </row>
    <row r="84" spans="1:25" x14ac:dyDescent="0.3">
      <c r="A84">
        <v>0.10735979649987694</v>
      </c>
      <c r="B84">
        <v>3.5525850221097277E-2</v>
      </c>
      <c r="C84">
        <f t="shared" si="3"/>
        <v>7.1833946278779662E-2</v>
      </c>
      <c r="D84">
        <v>11.8</v>
      </c>
      <c r="T84">
        <f t="shared" si="4"/>
        <v>0.82000000000000051</v>
      </c>
      <c r="U84">
        <f>($P$3*EXP(-$Q$3*T84)*SIN(2*PI()*T84/$R$3)+$S$3)</f>
        <v>-1.1300019287051557</v>
      </c>
      <c r="W84">
        <f t="shared" si="5"/>
        <v>0.82000000000000051</v>
      </c>
      <c r="X84">
        <v>0</v>
      </c>
      <c r="Y84">
        <v>519</v>
      </c>
    </row>
    <row r="85" spans="1:25" x14ac:dyDescent="0.3">
      <c r="A85">
        <v>0.10315015866662451</v>
      </c>
      <c r="B85">
        <v>-3.4475902672576671E-2</v>
      </c>
      <c r="C85">
        <f t="shared" si="3"/>
        <v>0.13762606133920119</v>
      </c>
      <c r="D85">
        <v>11.7</v>
      </c>
      <c r="T85">
        <f t="shared" si="4"/>
        <v>0.83000000000000052</v>
      </c>
      <c r="U85">
        <f>($P$3*EXP(-$Q$3*T85)*SIN(2*PI()*T85/$R$3)+$S$3)</f>
        <v>-1.2818892585579096</v>
      </c>
      <c r="W85">
        <f t="shared" si="5"/>
        <v>0.83000000000000052</v>
      </c>
      <c r="X85">
        <v>0</v>
      </c>
      <c r="Y85">
        <v>518</v>
      </c>
    </row>
    <row r="86" spans="1:25" x14ac:dyDescent="0.3">
      <c r="A86">
        <v>6.1250618826832769E-2</v>
      </c>
      <c r="B86">
        <v>-9.4585940505254026E-2</v>
      </c>
      <c r="C86">
        <f t="shared" si="3"/>
        <v>0.15583655933208679</v>
      </c>
      <c r="D86">
        <v>11.6</v>
      </c>
      <c r="T86">
        <f t="shared" si="4"/>
        <v>0.84000000000000052</v>
      </c>
      <c r="U86">
        <f>($P$3*EXP(-$Q$3*T86)*SIN(2*PI()*T86/$R$3)+$S$3)</f>
        <v>-1.4306143576407584</v>
      </c>
      <c r="W86">
        <f t="shared" si="5"/>
        <v>0.84000000000000052</v>
      </c>
      <c r="X86">
        <v>0</v>
      </c>
      <c r="Y86">
        <v>517</v>
      </c>
    </row>
    <row r="87" spans="1:25" x14ac:dyDescent="0.3">
      <c r="A87">
        <v>-1.471722464346339E-16</v>
      </c>
      <c r="B87">
        <v>-0.13524141265362077</v>
      </c>
      <c r="C87">
        <f t="shared" si="3"/>
        <v>0.13524141265362064</v>
      </c>
      <c r="D87">
        <v>11.5</v>
      </c>
      <c r="T87">
        <f t="shared" si="4"/>
        <v>0.85000000000000053</v>
      </c>
      <c r="U87">
        <f>($P$3*EXP(-$Q$3*T87)*SIN(2*PI()*T87/$R$3)+$S$3)</f>
        <v>-1.5759346752237338</v>
      </c>
      <c r="W87">
        <f t="shared" si="5"/>
        <v>0.85000000000000053</v>
      </c>
      <c r="X87">
        <v>0</v>
      </c>
      <c r="Y87">
        <v>516</v>
      </c>
    </row>
    <row r="88" spans="1:25" x14ac:dyDescent="0.3">
      <c r="A88">
        <v>-5.6541447465346048E-2</v>
      </c>
      <c r="B88">
        <v>-0.15071781220088692</v>
      </c>
      <c r="C88">
        <f t="shared" si="3"/>
        <v>9.4176364735540877E-2</v>
      </c>
      <c r="D88">
        <v>11.4</v>
      </c>
      <c r="T88">
        <f t="shared" si="4"/>
        <v>0.86000000000000054</v>
      </c>
      <c r="U88">
        <f>($P$3*EXP(-$Q$3*T88)*SIN(2*PI()*T88/$R$3)+$S$3)</f>
        <v>-1.717615097326429</v>
      </c>
      <c r="W88">
        <f t="shared" si="5"/>
        <v>0.86000000000000054</v>
      </c>
      <c r="X88">
        <v>0</v>
      </c>
      <c r="Y88">
        <v>515</v>
      </c>
    </row>
    <row r="89" spans="1:25" x14ac:dyDescent="0.3">
      <c r="A89">
        <v>-8.7898767038643202E-2</v>
      </c>
      <c r="B89">
        <v>-0.13987101403729324</v>
      </c>
      <c r="C89">
        <f t="shared" si="3"/>
        <v>5.1972246998650037E-2</v>
      </c>
      <c r="D89">
        <v>11.3</v>
      </c>
      <c r="T89">
        <f t="shared" si="4"/>
        <v>0.87000000000000055</v>
      </c>
      <c r="U89">
        <f>($P$3*EXP(-$Q$3*T89)*SIN(2*PI()*T89/$R$3)+$S$3)</f>
        <v>-1.8554283155750695</v>
      </c>
      <c r="W89">
        <f t="shared" si="5"/>
        <v>0.87000000000000055</v>
      </c>
      <c r="X89">
        <v>0</v>
      </c>
      <c r="Y89">
        <v>514</v>
      </c>
    </row>
    <row r="90" spans="1:25" x14ac:dyDescent="0.3">
      <c r="A90">
        <v>-8.4452207085238679E-2</v>
      </c>
      <c r="B90">
        <v>-0.10606351642065151</v>
      </c>
      <c r="C90">
        <f t="shared" si="3"/>
        <v>2.1611309335412832E-2</v>
      </c>
      <c r="D90">
        <v>11.2</v>
      </c>
      <c r="T90">
        <f t="shared" si="4"/>
        <v>0.88000000000000056</v>
      </c>
      <c r="U90">
        <f>($P$3*EXP(-$Q$3*T90)*SIN(2*PI()*T90/$R$3)+$S$3)</f>
        <v>-1.9891551801303085</v>
      </c>
      <c r="W90">
        <f t="shared" si="5"/>
        <v>0.88000000000000056</v>
      </c>
      <c r="X90">
        <v>0</v>
      </c>
      <c r="Y90">
        <v>513</v>
      </c>
    </row>
    <row r="91" spans="1:25" x14ac:dyDescent="0.3">
      <c r="A91">
        <v>-5.0147765278584965E-2</v>
      </c>
      <c r="B91">
        <v>-5.6334835295704301E-2</v>
      </c>
      <c r="C91">
        <f t="shared" si="3"/>
        <v>6.1870700171193366E-3</v>
      </c>
      <c r="D91">
        <v>11.1</v>
      </c>
      <c r="T91">
        <f t="shared" si="4"/>
        <v>0.89000000000000057</v>
      </c>
      <c r="U91">
        <f>($P$3*EXP(-$Q$3*T91)*SIN(2*PI()*T91/$R$3)+$S$3)</f>
        <v>-2.1185850361606722</v>
      </c>
      <c r="W91">
        <f t="shared" si="5"/>
        <v>0.89000000000000057</v>
      </c>
      <c r="X91">
        <v>0</v>
      </c>
      <c r="Y91">
        <v>512</v>
      </c>
    </row>
    <row r="92" spans="1:25" x14ac:dyDescent="0.3">
      <c r="A92">
        <v>-1.8076832822872326E-16</v>
      </c>
      <c r="B92">
        <v>-1.9760815222667045E-16</v>
      </c>
      <c r="C92">
        <f t="shared" si="3"/>
        <v>1.6839823997947192E-17</v>
      </c>
      <c r="D92">
        <v>11</v>
      </c>
      <c r="T92">
        <f t="shared" si="4"/>
        <v>0.90000000000000058</v>
      </c>
      <c r="U92">
        <f>($P$3*EXP(-$Q$3*T92)*SIN(2*PI()*T92/$R$3)+$S$3)</f>
        <v>-2.2435160433684449</v>
      </c>
      <c r="W92">
        <f t="shared" si="5"/>
        <v>0.90000000000000058</v>
      </c>
      <c r="X92">
        <v>0</v>
      </c>
      <c r="Y92">
        <v>511</v>
      </c>
    </row>
    <row r="93" spans="1:25" x14ac:dyDescent="0.3">
      <c r="A93">
        <v>4.6292221863421683E-2</v>
      </c>
      <c r="B93">
        <v>5.3054149886804083E-2</v>
      </c>
      <c r="C93">
        <f t="shared" si="3"/>
        <v>-6.7619280233824006E-3</v>
      </c>
      <c r="D93">
        <v>10.9</v>
      </c>
      <c r="T93">
        <f t="shared" si="4"/>
        <v>0.91000000000000059</v>
      </c>
      <c r="U93">
        <f>($P$3*EXP(-$Q$3*T93)*SIN(2*PI()*T93/$R$3)+$S$3)</f>
        <v>-2.3637554781077275</v>
      </c>
      <c r="W93">
        <f t="shared" si="5"/>
        <v>0.91000000000000059</v>
      </c>
      <c r="X93">
        <v>0</v>
      </c>
      <c r="Y93">
        <v>510</v>
      </c>
    </row>
    <row r="94" spans="1:25" x14ac:dyDescent="0.3">
      <c r="A94">
        <v>7.196542373217435E-2</v>
      </c>
      <c r="B94">
        <v>9.4069900303561424E-2</v>
      </c>
      <c r="C94">
        <f t="shared" si="3"/>
        <v>-2.2104476571387074E-2</v>
      </c>
      <c r="D94">
        <v>10.8</v>
      </c>
      <c r="T94">
        <f t="shared" si="4"/>
        <v>0.9200000000000006</v>
      </c>
      <c r="U94">
        <f>($P$3*EXP(-$Q$3*T94)*SIN(2*PI()*T94/$R$3)+$S$3)</f>
        <v>-2.4791200176675674</v>
      </c>
      <c r="W94">
        <f t="shared" si="5"/>
        <v>0.9200000000000006</v>
      </c>
      <c r="X94">
        <v>0</v>
      </c>
      <c r="Y94">
        <v>509</v>
      </c>
    </row>
    <row r="95" spans="1:25" x14ac:dyDescent="0.3">
      <c r="A95">
        <v>6.9143619105995216E-2</v>
      </c>
      <c r="B95">
        <v>0.1168300914652388</v>
      </c>
      <c r="C95">
        <f t="shared" si="3"/>
        <v>-4.7686472359243587E-2</v>
      </c>
      <c r="D95">
        <v>10.7</v>
      </c>
      <c r="T95">
        <f t="shared" si="4"/>
        <v>0.9300000000000006</v>
      </c>
      <c r="U95">
        <f>($P$3*EXP(-$Q$3*T95)*SIN(2*PI()*T95/$R$3)+$S$3)</f>
        <v>-2.5894360063271602</v>
      </c>
      <c r="W95">
        <f t="shared" si="5"/>
        <v>0.9300000000000006</v>
      </c>
      <c r="X95">
        <v>0</v>
      </c>
      <c r="Y95">
        <v>508</v>
      </c>
    </row>
    <row r="96" spans="1:25" x14ac:dyDescent="0.3">
      <c r="A96">
        <v>4.1057517631713961E-2</v>
      </c>
      <c r="B96">
        <v>0.11855883023621418</v>
      </c>
      <c r="C96">
        <f t="shared" si="3"/>
        <v>-7.7501312604500217E-2</v>
      </c>
      <c r="D96">
        <v>10.6</v>
      </c>
      <c r="T96">
        <f t="shared" si="4"/>
        <v>0.94000000000000061</v>
      </c>
      <c r="U96">
        <f>($P$3*EXP(-$Q$3*T96)*SIN(2*PI()*T96/$R$3)+$S$3)</f>
        <v>-2.6945397028243248</v>
      </c>
      <c r="W96">
        <f t="shared" si="5"/>
        <v>0.94000000000000061</v>
      </c>
      <c r="X96">
        <v>0</v>
      </c>
      <c r="Y96">
        <v>507</v>
      </c>
    </row>
    <row r="97" spans="1:25" x14ac:dyDescent="0.3">
      <c r="A97">
        <v>3.9465368601193301E-16</v>
      </c>
      <c r="B97">
        <v>0.10018930268453743</v>
      </c>
      <c r="C97">
        <f t="shared" si="3"/>
        <v>-0.10018930268453705</v>
      </c>
      <c r="D97">
        <v>10.5</v>
      </c>
      <c r="T97">
        <f t="shared" si="4"/>
        <v>0.95000000000000062</v>
      </c>
      <c r="U97">
        <f>($P$3*EXP(-$Q$3*T97)*SIN(2*PI()*T97/$R$3)+$S$3)</f>
        <v>-2.7942775089134573</v>
      </c>
      <c r="W97">
        <f t="shared" si="5"/>
        <v>0.95000000000000062</v>
      </c>
      <c r="X97">
        <v>0</v>
      </c>
      <c r="Y97">
        <v>506</v>
      </c>
    </row>
    <row r="98" spans="1:25" x14ac:dyDescent="0.3">
      <c r="A98">
        <v>-3.7900865667892435E-2</v>
      </c>
      <c r="B98">
        <v>6.599037146967901E-2</v>
      </c>
      <c r="C98">
        <f t="shared" si="3"/>
        <v>-0.10389123713757145</v>
      </c>
      <c r="D98">
        <v>10.4</v>
      </c>
      <c r="T98">
        <f t="shared" si="4"/>
        <v>0.96000000000000063</v>
      </c>
      <c r="U98">
        <f>($P$3*EXP(-$Q$3*T98)*SIN(2*PI()*T98/$R$3)+$S$3)</f>
        <v>-2.8885061787242199</v>
      </c>
      <c r="W98">
        <f t="shared" si="5"/>
        <v>0.96000000000000063</v>
      </c>
      <c r="X98">
        <v>0</v>
      </c>
      <c r="Y98">
        <v>505</v>
      </c>
    </row>
    <row r="99" spans="1:25" x14ac:dyDescent="0.3">
      <c r="A99">
        <v>-5.8920305567819242E-2</v>
      </c>
      <c r="B99">
        <v>2.2652282211270244E-2</v>
      </c>
      <c r="C99">
        <f t="shared" si="3"/>
        <v>-8.1572587779089489E-2</v>
      </c>
      <c r="D99">
        <v>10.3</v>
      </c>
      <c r="T99">
        <f t="shared" si="4"/>
        <v>0.97000000000000064</v>
      </c>
      <c r="U99">
        <f>($P$3*EXP(-$Q$3*T99)*SIN(2*PI()*T99/$R$3)+$S$3)</f>
        <v>-2.9770930086677616</v>
      </c>
      <c r="W99">
        <f t="shared" si="5"/>
        <v>0.97000000000000064</v>
      </c>
      <c r="X99">
        <v>0</v>
      </c>
      <c r="Y99">
        <v>504</v>
      </c>
    </row>
    <row r="100" spans="1:25" x14ac:dyDescent="0.3">
      <c r="A100">
        <v>-5.6610007341188553E-2</v>
      </c>
      <c r="B100">
        <v>-2.1982806096607195E-2</v>
      </c>
      <c r="C100">
        <f t="shared" si="3"/>
        <v>-3.4627201244581358E-2</v>
      </c>
      <c r="D100">
        <v>10.199999999999999</v>
      </c>
      <c r="T100">
        <f t="shared" si="4"/>
        <v>0.98000000000000065</v>
      </c>
      <c r="U100">
        <f>($P$3*EXP(-$Q$3*T100)*SIN(2*PI()*T100/$R$3)+$S$3)</f>
        <v>-3.0599160076729963</v>
      </c>
      <c r="W100">
        <f t="shared" si="5"/>
        <v>0.98000000000000065</v>
      </c>
      <c r="X100">
        <v>0</v>
      </c>
      <c r="Y100">
        <v>503</v>
      </c>
    </row>
    <row r="101" spans="1:25" x14ac:dyDescent="0.3">
      <c r="A101">
        <v>-3.3615052330125517E-2</v>
      </c>
      <c r="B101">
        <v>-6.0310658413772096E-2</v>
      </c>
      <c r="C101">
        <f t="shared" si="3"/>
        <v>2.6695606083646579E-2</v>
      </c>
      <c r="D101">
        <v>10.1</v>
      </c>
      <c r="T101">
        <f t="shared" si="4"/>
        <v>0.99000000000000066</v>
      </c>
      <c r="U101">
        <f>($P$3*EXP(-$Q$3*T101)*SIN(2*PI()*T101/$R$3)+$S$3)</f>
        <v>-3.136864047571255</v>
      </c>
      <c r="W101">
        <f t="shared" si="5"/>
        <v>0.99000000000000066</v>
      </c>
      <c r="X101">
        <v>0</v>
      </c>
      <c r="Y101">
        <v>502</v>
      </c>
    </row>
    <row r="102" spans="1:25" x14ac:dyDescent="0.3">
      <c r="A102">
        <v>-1.3463626011118148E-16</v>
      </c>
      <c r="B102">
        <v>-8.6233731973045694E-2</v>
      </c>
      <c r="C102">
        <f t="shared" si="3"/>
        <v>8.6233731973045555E-2</v>
      </c>
      <c r="D102">
        <v>10</v>
      </c>
      <c r="T102">
        <f t="shared" si="4"/>
        <v>1.0000000000000007</v>
      </c>
      <c r="U102">
        <f>($P$3*EXP(-$Q$3*T102)*SIN(2*PI()*T102/$R$3)+$S$3)</f>
        <v>-3.2078369934837756</v>
      </c>
      <c r="W102">
        <f t="shared" si="5"/>
        <v>1.0000000000000007</v>
      </c>
      <c r="X102">
        <v>0</v>
      </c>
      <c r="Y102">
        <v>501</v>
      </c>
    </row>
    <row r="103" spans="1:25" x14ac:dyDescent="0.3">
      <c r="A103">
        <v>3.103060429058084E-2</v>
      </c>
      <c r="B103">
        <v>-9.6101920010129058E-2</v>
      </c>
      <c r="C103">
        <f t="shared" si="3"/>
        <v>0.1271325243007099</v>
      </c>
      <c r="D103">
        <v>9.9</v>
      </c>
      <c r="T103">
        <f t="shared" ref="T103:T166" si="6">T102+0.01</f>
        <v>1.0100000000000007</v>
      </c>
      <c r="U103">
        <f>($P$3*EXP(-$Q$3*T103)*SIN(2*PI()*T103/$R$3)+$S$3)</f>
        <v>-3.2727458141023158</v>
      </c>
      <c r="W103">
        <f t="shared" si="5"/>
        <v>1.0100000000000007</v>
      </c>
      <c r="X103">
        <v>-2.9150357524131446E-13</v>
      </c>
      <c r="Y103">
        <v>500</v>
      </c>
    </row>
    <row r="104" spans="1:25" x14ac:dyDescent="0.3">
      <c r="A104">
        <v>4.8239866149125399E-2</v>
      </c>
      <c r="B104">
        <v>-8.9185696146062643E-2</v>
      </c>
      <c r="C104">
        <f t="shared" si="3"/>
        <v>0.13742556229518804</v>
      </c>
      <c r="D104">
        <v>9.8000000000000007</v>
      </c>
      <c r="T104">
        <f t="shared" si="6"/>
        <v>1.0200000000000007</v>
      </c>
      <c r="U104">
        <f>($P$3*EXP(-$Q$3*T104)*SIN(2*PI()*T104/$R$3)+$S$3)</f>
        <v>-3.3315126717894019</v>
      </c>
      <c r="W104">
        <f t="shared" si="5"/>
        <v>1.0200000000000007</v>
      </c>
      <c r="X104">
        <v>-3.47139809111493E-2</v>
      </c>
      <c r="Y104">
        <v>499</v>
      </c>
    </row>
    <row r="105" spans="1:25" x14ac:dyDescent="0.3">
      <c r="A105">
        <v>4.6348353942201347E-2</v>
      </c>
      <c r="B105">
        <v>-6.7629083929805184E-2</v>
      </c>
      <c r="C105">
        <f t="shared" si="3"/>
        <v>0.11397743787200654</v>
      </c>
      <c r="D105">
        <v>9.6999999999999993</v>
      </c>
      <c r="T105">
        <f t="shared" si="6"/>
        <v>1.0300000000000007</v>
      </c>
      <c r="U105">
        <f>($P$3*EXP(-$Q$3*T105)*SIN(2*PI()*T105/$R$3)+$S$3)</f>
        <v>-3.3840709924604191</v>
      </c>
      <c r="W105">
        <f t="shared" si="5"/>
        <v>1.0300000000000007</v>
      </c>
      <c r="X105">
        <v>-6.9575475352875532E-2</v>
      </c>
      <c r="Y105">
        <v>498</v>
      </c>
    </row>
    <row r="106" spans="1:25" x14ac:dyDescent="0.3">
      <c r="A106">
        <v>2.7521677108999578E-2</v>
      </c>
      <c r="B106">
        <v>-3.5920676901517554E-2</v>
      </c>
      <c r="C106">
        <f t="shared" si="3"/>
        <v>6.3442354010517135E-2</v>
      </c>
      <c r="D106">
        <v>9.6</v>
      </c>
      <c r="T106">
        <f t="shared" si="6"/>
        <v>1.0400000000000007</v>
      </c>
      <c r="U106">
        <f>($P$3*EXP(-$Q$3*T106)*SIN(2*PI()*T106/$R$3)+$S$3)</f>
        <v>-3.4303655152457435</v>
      </c>
      <c r="W106">
        <f t="shared" si="5"/>
        <v>1.0400000000000007</v>
      </c>
      <c r="X106">
        <v>-0.10452371371137338</v>
      </c>
      <c r="Y106">
        <v>497</v>
      </c>
    </row>
    <row r="107" spans="1:25" x14ac:dyDescent="0.3">
      <c r="A107">
        <v>-4.4082583710792396E-17</v>
      </c>
      <c r="B107">
        <v>-1.4700060765796684E-16</v>
      </c>
      <c r="C107">
        <f t="shared" si="3"/>
        <v>1.0291802394717444E-16</v>
      </c>
      <c r="D107">
        <v>9.5</v>
      </c>
      <c r="T107">
        <f t="shared" si="6"/>
        <v>1.0500000000000007</v>
      </c>
      <c r="U107">
        <f>($P$3*EXP(-$Q$3*T107)*SIN(2*PI()*T107/$R$3)+$S$3)</f>
        <v>-3.4703523219664563</v>
      </c>
      <c r="W107">
        <f t="shared" si="5"/>
        <v>1.0500000000000007</v>
      </c>
      <c r="X107">
        <v>-0.13949740724025858</v>
      </c>
      <c r="Y107">
        <v>496</v>
      </c>
    </row>
    <row r="108" spans="1:25" x14ac:dyDescent="0.3">
      <c r="A108">
        <v>-2.5405710019291972E-2</v>
      </c>
      <c r="B108">
        <v>3.3828819528187393E-2</v>
      </c>
      <c r="C108">
        <f t="shared" si="3"/>
        <v>-5.9234529547479361E-2</v>
      </c>
      <c r="D108">
        <v>9.4</v>
      </c>
      <c r="T108">
        <f t="shared" si="6"/>
        <v>1.0600000000000007</v>
      </c>
      <c r="U108">
        <f>($P$3*EXP(-$Q$3*T108)*SIN(2*PI()*T108/$R$3)+$S$3)</f>
        <v>-3.503998846492677</v>
      </c>
      <c r="W108">
        <f t="shared" si="5"/>
        <v>1.0600000000000007</v>
      </c>
      <c r="X108">
        <v>-0.17443485333428563</v>
      </c>
      <c r="Y108">
        <v>495</v>
      </c>
    </row>
    <row r="109" spans="1:25" x14ac:dyDescent="0.3">
      <c r="A109">
        <v>-3.9495461940654508E-2</v>
      </c>
      <c r="B109">
        <v>5.9981616653804366E-2</v>
      </c>
      <c r="C109">
        <f t="shared" si="3"/>
        <v>-9.9477078594458868E-2</v>
      </c>
      <c r="D109">
        <v>9.3000000000000007</v>
      </c>
      <c r="T109">
        <f t="shared" si="6"/>
        <v>1.0700000000000007</v>
      </c>
      <c r="U109">
        <f>($P$3*EXP(-$Q$3*T109)*SIN(2*PI()*T109/$R$3)+$S$3)</f>
        <v>-3.5312838640883153</v>
      </c>
      <c r="W109">
        <f t="shared" si="5"/>
        <v>1.0700000000000007</v>
      </c>
      <c r="X109">
        <v>-0.20927404216827963</v>
      </c>
      <c r="Y109">
        <v>494</v>
      </c>
    </row>
    <row r="110" spans="1:25" x14ac:dyDescent="0.3">
      <c r="A110">
        <v>-3.7946822727023481E-2</v>
      </c>
      <c r="B110">
        <v>7.4494155274782911E-2</v>
      </c>
      <c r="C110">
        <f t="shared" si="3"/>
        <v>-0.11244097800180639</v>
      </c>
      <c r="D110">
        <v>9.1999999999999993</v>
      </c>
      <c r="T110">
        <f t="shared" si="6"/>
        <v>1.0800000000000007</v>
      </c>
      <c r="U110">
        <f>($P$3*EXP(-$Q$3*T110)*SIN(2*PI()*T110/$R$3)+$S$3)</f>
        <v>-3.5521974608807665</v>
      </c>
      <c r="W110">
        <f t="shared" si="5"/>
        <v>1.0800000000000007</v>
      </c>
      <c r="X110">
        <v>-0.24395276452121234</v>
      </c>
      <c r="Y110">
        <v>493</v>
      </c>
    </row>
    <row r="111" spans="1:25" x14ac:dyDescent="0.3">
      <c r="A111">
        <v>-2.2532843425420175E-2</v>
      </c>
      <c r="B111">
        <v>7.559644778195683E-2</v>
      </c>
      <c r="C111">
        <f t="shared" si="3"/>
        <v>-9.8129291207377012E-2</v>
      </c>
      <c r="D111">
        <v>9.1</v>
      </c>
      <c r="T111">
        <f t="shared" si="6"/>
        <v>1.0900000000000007</v>
      </c>
      <c r="U111">
        <f>($P$3*EXP(-$Q$3*T111)*SIN(2*PI()*T111/$R$3)+$S$3)</f>
        <v>-3.5667409836280775</v>
      </c>
      <c r="W111">
        <f t="shared" si="5"/>
        <v>1.0900000000000007</v>
      </c>
      <c r="X111">
        <v>-0.27840872060180238</v>
      </c>
      <c r="Y111">
        <v>492</v>
      </c>
    </row>
    <row r="112" spans="1:25" x14ac:dyDescent="0.3">
      <c r="A112">
        <v>-3.6098156296085946E-16</v>
      </c>
      <c r="B112">
        <v>6.3883519883016007E-2</v>
      </c>
      <c r="C112">
        <f t="shared" si="3"/>
        <v>-6.3883519883016368E-2</v>
      </c>
      <c r="D112">
        <v>9</v>
      </c>
      <c r="T112">
        <f t="shared" si="6"/>
        <v>1.1000000000000008</v>
      </c>
      <c r="U112">
        <f>($P$3*EXP(-$Q$3*T112)*SIN(2*PI()*T112/$R$3)+$S$3)</f>
        <v>-3.5749269699897726</v>
      </c>
      <c r="W112">
        <f t="shared" si="5"/>
        <v>1.1000000000000008</v>
      </c>
      <c r="X112">
        <v>-0.31257962968920494</v>
      </c>
      <c r="Y112">
        <v>491</v>
      </c>
    </row>
    <row r="113" spans="1:25" x14ac:dyDescent="0.3">
      <c r="A113">
        <v>2.0800436096575843E-2</v>
      </c>
      <c r="B113">
        <v>4.207731858504566E-2</v>
      </c>
      <c r="C113">
        <f t="shared" si="3"/>
        <v>-2.1276882488469817E-2</v>
      </c>
      <c r="D113">
        <v>8.9</v>
      </c>
      <c r="T113">
        <f t="shared" si="6"/>
        <v>1.1100000000000008</v>
      </c>
      <c r="U113">
        <f>($P$3*EXP(-$Q$3*T113)*SIN(2*PI()*T113/$R$3)+$S$3)</f>
        <v>-3.5767790595405464</v>
      </c>
      <c r="W113">
        <f t="shared" si="5"/>
        <v>1.1100000000000008</v>
      </c>
      <c r="X113">
        <v>-0.34640334039984771</v>
      </c>
      <c r="Y113">
        <v>490</v>
      </c>
    </row>
    <row r="114" spans="1:25" x14ac:dyDescent="0.3">
      <c r="A114">
        <v>3.2336149297834897E-2</v>
      </c>
      <c r="B114">
        <v>1.4443732836386551E-2</v>
      </c>
      <c r="C114">
        <f t="shared" si="3"/>
        <v>1.7892416461448346E-2</v>
      </c>
      <c r="D114">
        <v>8.8000000000000007</v>
      </c>
      <c r="T114">
        <f t="shared" si="6"/>
        <v>1.1200000000000008</v>
      </c>
      <c r="U114">
        <f>($P$3*EXP(-$Q$3*T114)*SIN(2*PI()*T114/$R$3)+$S$3)</f>
        <v>-3.5723318857984725</v>
      </c>
      <c r="W114">
        <f t="shared" si="5"/>
        <v>1.1200000000000008</v>
      </c>
      <c r="X114">
        <v>-0.37981794138905139</v>
      </c>
      <c r="Y114">
        <v>489</v>
      </c>
    </row>
    <row r="115" spans="1:25" x14ac:dyDescent="0.3">
      <c r="A115">
        <v>3.1068230748212571E-2</v>
      </c>
      <c r="B115">
        <v>-1.4016856018839476E-2</v>
      </c>
      <c r="C115">
        <f t="shared" si="3"/>
        <v>4.5085086767052043E-2</v>
      </c>
      <c r="D115">
        <v>8.6999999999999993</v>
      </c>
      <c r="T115">
        <f t="shared" si="6"/>
        <v>1.1300000000000008</v>
      </c>
      <c r="U115">
        <f>($P$3*EXP(-$Q$3*T115)*SIN(2*PI()*T115/$R$3)+$S$3)</f>
        <v>-3.5616309495711183</v>
      </c>
      <c r="W115">
        <f t="shared" si="5"/>
        <v>1.1300000000000008</v>
      </c>
      <c r="X115">
        <v>-0.41276187229432981</v>
      </c>
      <c r="Y115">
        <v>488</v>
      </c>
    </row>
    <row r="116" spans="1:25" x14ac:dyDescent="0.3">
      <c r="A116">
        <v>1.8448331866682426E-2</v>
      </c>
      <c r="B116">
        <v>-3.8455773647466031E-2</v>
      </c>
      <c r="C116">
        <f t="shared" si="3"/>
        <v>5.6904105514148456E-2</v>
      </c>
      <c r="D116">
        <v>8.6</v>
      </c>
      <c r="T116">
        <f t="shared" si="6"/>
        <v>1.1400000000000008</v>
      </c>
      <c r="U116">
        <f>($P$3*EXP(-$Q$3*T116)*SIN(2*PI()*T116/$R$3)+$S$3)</f>
        <v>-3.5447324739539794</v>
      </c>
      <c r="W116">
        <f t="shared" si="5"/>
        <v>1.1400000000000008</v>
      </c>
      <c r="X116">
        <v>-0.44517403472561545</v>
      </c>
      <c r="Y116">
        <v>487</v>
      </c>
    </row>
    <row r="117" spans="1:25" x14ac:dyDescent="0.3">
      <c r="A117">
        <v>1.9210732115862471E-16</v>
      </c>
      <c r="B117">
        <v>-5.4985055125420318E-2</v>
      </c>
      <c r="C117">
        <f t="shared" si="3"/>
        <v>5.4985055125420512E-2</v>
      </c>
      <c r="D117">
        <v>8.5</v>
      </c>
      <c r="T117">
        <f t="shared" si="6"/>
        <v>1.1500000000000008</v>
      </c>
      <c r="U117">
        <f>($P$3*EXP(-$Q$3*T117)*SIN(2*PI()*T117/$R$3)+$S$3)</f>
        <v>-3.5217032413459228</v>
      </c>
      <c r="W117">
        <f t="shared" si="5"/>
        <v>1.1500000000000008</v>
      </c>
      <c r="X117">
        <v>-0.47699390310632428</v>
      </c>
      <c r="Y117">
        <v>486</v>
      </c>
    </row>
    <row r="118" spans="1:25" x14ac:dyDescent="0.3">
      <c r="A118">
        <v>-1.7029956709700065E-2</v>
      </c>
      <c r="B118">
        <v>-6.1277289623362083E-2</v>
      </c>
      <c r="C118">
        <f t="shared" si="3"/>
        <v>4.4247332913662021E-2</v>
      </c>
      <c r="D118">
        <v>8.4</v>
      </c>
      <c r="T118">
        <f t="shared" si="6"/>
        <v>1.1600000000000008</v>
      </c>
      <c r="U118">
        <f>($P$3*EXP(-$Q$3*T118)*SIN(2*PI()*T118/$R$3)+$S$3)</f>
        <v>-3.4926204128757399</v>
      </c>
      <c r="W118">
        <f t="shared" si="5"/>
        <v>1.1600000000000008</v>
      </c>
      <c r="X118">
        <v>-0.50816163516840795</v>
      </c>
      <c r="Y118">
        <v>485</v>
      </c>
    </row>
    <row r="119" spans="1:25" x14ac:dyDescent="0.3">
      <c r="A119">
        <v>-2.6474599866258323E-2</v>
      </c>
      <c r="B119">
        <v>-5.6867310584715024E-2</v>
      </c>
      <c r="C119">
        <f t="shared" si="3"/>
        <v>3.03927107184567E-2</v>
      </c>
      <c r="D119">
        <v>8.3000000000000007</v>
      </c>
      <c r="T119">
        <f t="shared" si="6"/>
        <v>1.1700000000000008</v>
      </c>
      <c r="U119">
        <f>($P$3*EXP(-$Q$3*T119)*SIN(2*PI()*T119/$R$3)+$S$3)</f>
        <v>-3.4575713306624958</v>
      </c>
      <c r="W119">
        <f t="shared" si="5"/>
        <v>1.1700000000000008</v>
      </c>
      <c r="X119">
        <v>-0.53861818190381894</v>
      </c>
      <c r="Y119">
        <v>484</v>
      </c>
    </row>
    <row r="120" spans="1:25" x14ac:dyDescent="0.3">
      <c r="A120">
        <v>-2.5436515957284557E-2</v>
      </c>
      <c r="B120">
        <v>-4.3122207782035751E-2</v>
      </c>
      <c r="C120">
        <f t="shared" si="3"/>
        <v>1.7685691824751194E-2</v>
      </c>
      <c r="D120">
        <v>8.1999999999999993</v>
      </c>
      <c r="T120">
        <f t="shared" si="6"/>
        <v>1.1800000000000008</v>
      </c>
      <c r="U120">
        <f>($P$3*EXP(-$Q$3*T120)*SIN(2*PI()*T120/$R$3)+$S$3)</f>
        <v>-3.4166533033599955</v>
      </c>
      <c r="W120">
        <f t="shared" si="5"/>
        <v>1.1800000000000008</v>
      </c>
      <c r="X120">
        <v>-0.56830539677466674</v>
      </c>
      <c r="Y120">
        <v>483</v>
      </c>
    </row>
    <row r="121" spans="1:25" x14ac:dyDescent="0.3">
      <c r="A121">
        <v>-1.5104216642241651E-2</v>
      </c>
      <c r="B121">
        <v>-2.2904034817717581E-2</v>
      </c>
      <c r="C121">
        <f t="shared" si="3"/>
        <v>7.7998181754759307E-3</v>
      </c>
      <c r="D121">
        <v>8.1</v>
      </c>
      <c r="T121">
        <f t="shared" si="6"/>
        <v>1.1900000000000008</v>
      </c>
      <c r="U121">
        <f>($P$3*EXP(-$Q$3*T121)*SIN(2*PI()*T121/$R$3)+$S$3)</f>
        <v>-3.3699733754623775</v>
      </c>
      <c r="W121">
        <f t="shared" si="5"/>
        <v>1.1900000000000008</v>
      </c>
      <c r="X121">
        <v>-0.59716614398450873</v>
      </c>
      <c r="Y121">
        <v>482</v>
      </c>
    </row>
    <row r="122" spans="1:25" x14ac:dyDescent="0.3">
      <c r="A122">
        <v>-7.2595165546048724E-17</v>
      </c>
      <c r="B122">
        <v>-1.071219722836879E-16</v>
      </c>
      <c r="C122">
        <f t="shared" si="3"/>
        <v>3.4526806737639175E-17</v>
      </c>
      <c r="D122">
        <v>8</v>
      </c>
      <c r="T122">
        <f t="shared" si="6"/>
        <v>1.2000000000000008</v>
      </c>
      <c r="U122">
        <f>($P$3*EXP(-$Q$3*T122)*SIN(2*PI()*T122/$R$3)+$S$3)</f>
        <v>-3.3176480808735778</v>
      </c>
      <c r="W122">
        <f t="shared" si="5"/>
        <v>1.2000000000000008</v>
      </c>
      <c r="X122">
        <v>-0.62514440561353846</v>
      </c>
      <c r="Y122">
        <v>481</v>
      </c>
    </row>
    <row r="123" spans="1:25" x14ac:dyDescent="0.3">
      <c r="A123">
        <v>1.394294928181823E-2</v>
      </c>
      <c r="B123">
        <v>2.1570207667305E-2</v>
      </c>
      <c r="C123">
        <f t="shared" si="3"/>
        <v>-7.6272583854867706E-3</v>
      </c>
      <c r="D123">
        <v>7.9</v>
      </c>
      <c r="T123">
        <f t="shared" si="6"/>
        <v>1.2100000000000009</v>
      </c>
      <c r="U123">
        <f>($P$3*EXP(-$Q$3*T123)*SIN(2*PI()*T123/$R$3)+$S$3)</f>
        <v>-3.2598031812680008</v>
      </c>
      <c r="W123">
        <f t="shared" si="5"/>
        <v>1.2100000000000009</v>
      </c>
      <c r="X123">
        <v>-0.65218538742141308</v>
      </c>
      <c r="Y123">
        <v>480</v>
      </c>
    </row>
    <row r="124" spans="1:25" x14ac:dyDescent="0.3">
      <c r="A124">
        <v>2.1675569085939931E-2</v>
      </c>
      <c r="B124">
        <v>3.8245967358251039E-2</v>
      </c>
      <c r="C124">
        <f t="shared" si="3"/>
        <v>-1.6570398272311108E-2</v>
      </c>
      <c r="D124">
        <v>7.8</v>
      </c>
      <c r="T124">
        <f t="shared" si="6"/>
        <v>1.2200000000000009</v>
      </c>
      <c r="U124">
        <f>($P$3*EXP(-$Q$3*T124)*SIN(2*PI()*T124/$R$3)+$S$3)</f>
        <v>-3.1965733897933886</v>
      </c>
      <c r="W124">
        <f t="shared" si="5"/>
        <v>1.2200000000000009</v>
      </c>
      <c r="X124">
        <v>-0.67823562312257624</v>
      </c>
      <c r="Y124">
        <v>479</v>
      </c>
    </row>
    <row r="125" spans="1:25" x14ac:dyDescent="0.3">
      <c r="A125">
        <v>2.0825657865387658E-2</v>
      </c>
      <c r="B125">
        <v>4.7499570534485322E-2</v>
      </c>
      <c r="C125">
        <f t="shared" si="3"/>
        <v>-2.6673912669097664E-2</v>
      </c>
      <c r="D125">
        <v>7.7</v>
      </c>
      <c r="T125">
        <f t="shared" si="6"/>
        <v>1.2300000000000009</v>
      </c>
      <c r="U125">
        <f>($P$3*EXP(-$Q$3*T125)*SIN(2*PI()*T125/$R$3)+$S$3)</f>
        <v>-3.1281020806892958</v>
      </c>
      <c r="W125">
        <f t="shared" si="5"/>
        <v>1.2300000000000009</v>
      </c>
      <c r="X125">
        <v>-0.70324307694042409</v>
      </c>
      <c r="Y125">
        <v>478</v>
      </c>
    </row>
    <row r="126" spans="1:25" x14ac:dyDescent="0.3">
      <c r="A126">
        <v>1.236628666615543E-2</v>
      </c>
      <c r="B126">
        <v>4.8202423268381055E-2</v>
      </c>
      <c r="C126">
        <f t="shared" si="3"/>
        <v>-3.5836136602225621E-2</v>
      </c>
      <c r="D126">
        <v>7.6</v>
      </c>
      <c r="T126">
        <f t="shared" si="6"/>
        <v>1.2400000000000009</v>
      </c>
      <c r="U126">
        <f>($P$3*EXP(-$Q$3*T126)*SIN(2*PI()*T126/$R$3)+$S$3)</f>
        <v>-3.0545409854159375</v>
      </c>
      <c r="W126">
        <f t="shared" si="5"/>
        <v>1.2400000000000009</v>
      </c>
      <c r="X126">
        <v>-0.72715724424859196</v>
      </c>
      <c r="Y126">
        <v>477</v>
      </c>
    </row>
    <row r="127" spans="1:25" x14ac:dyDescent="0.3">
      <c r="A127">
        <v>-9.9015992481581782E-18</v>
      </c>
      <c r="B127">
        <v>4.073393070210013E-2</v>
      </c>
      <c r="C127">
        <f t="shared" si="3"/>
        <v>-4.0733930702100137E-2</v>
      </c>
      <c r="D127">
        <v>7.5</v>
      </c>
      <c r="T127">
        <f t="shared" si="6"/>
        <v>1.2500000000000009</v>
      </c>
      <c r="U127">
        <f>($P$3*EXP(-$Q$3*T127)*SIN(2*PI()*T127/$R$3)+$S$3)</f>
        <v>-2.9760498759083296</v>
      </c>
      <c r="W127">
        <f t="shared" si="5"/>
        <v>1.2500000000000009</v>
      </c>
      <c r="X127">
        <v>-0.74992925010987965</v>
      </c>
      <c r="Y127">
        <v>476</v>
      </c>
    </row>
    <row r="128" spans="1:25" x14ac:dyDescent="0.3">
      <c r="A128">
        <v>-1.1415521365630977E-2</v>
      </c>
      <c r="B128">
        <v>2.682968287458342E-2</v>
      </c>
      <c r="C128">
        <f t="shared" si="3"/>
        <v>-3.8245204240214395E-2</v>
      </c>
      <c r="D128">
        <v>7.4</v>
      </c>
      <c r="T128">
        <f t="shared" si="6"/>
        <v>1.2600000000000009</v>
      </c>
      <c r="U128">
        <f>($P$3*EXP(-$Q$3*T128)*SIN(2*PI()*T128/$R$3)+$S$3)</f>
        <v>-2.8927962355895995</v>
      </c>
      <c r="W128">
        <f t="shared" si="5"/>
        <v>1.2600000000000009</v>
      </c>
      <c r="X128">
        <v>-0.77151194552581537</v>
      </c>
      <c r="Y128">
        <v>475</v>
      </c>
    </row>
    <row r="129" spans="1:25" x14ac:dyDescent="0.3">
      <c r="A129">
        <v>-1.7746455001125441E-2</v>
      </c>
      <c r="B129">
        <v>9.2097306709841911E-3</v>
      </c>
      <c r="C129">
        <f t="shared" si="3"/>
        <v>-2.6956185672109632E-2</v>
      </c>
      <c r="D129">
        <v>7.3</v>
      </c>
      <c r="T129">
        <f t="shared" si="6"/>
        <v>1.2700000000000009</v>
      </c>
      <c r="U129">
        <f>($P$3*EXP(-$Q$3*T129)*SIN(2*PI()*T129/$R$3)+$S$3)</f>
        <v>-2.8049549187950595</v>
      </c>
      <c r="W129">
        <f t="shared" si="5"/>
        <v>1.2700000000000009</v>
      </c>
      <c r="X129">
        <v>-0.79186000121294153</v>
      </c>
      <c r="Y129">
        <v>474</v>
      </c>
    </row>
    <row r="130" spans="1:25" x14ac:dyDescent="0.3">
      <c r="A130">
        <v>-1.7050606547473292E-2</v>
      </c>
      <c r="B130">
        <v>-8.9375419948408367E-3</v>
      </c>
      <c r="C130">
        <f t="shared" si="3"/>
        <v>-8.1130645526324551E-3</v>
      </c>
      <c r="D130">
        <v>7.2</v>
      </c>
      <c r="T130">
        <f t="shared" si="6"/>
        <v>1.2800000000000009</v>
      </c>
      <c r="U130">
        <f>($P$3*EXP(-$Q$3*T130)*SIN(2*PI()*T130/$R$3)+$S$3)</f>
        <v>-2.7127077992751336</v>
      </c>
      <c r="W130">
        <f t="shared" si="5"/>
        <v>1.2800000000000009</v>
      </c>
      <c r="X130">
        <v>-0.81092999872499449</v>
      </c>
      <c r="Y130">
        <v>473</v>
      </c>
    </row>
    <row r="131" spans="1:25" x14ac:dyDescent="0.3">
      <c r="A131">
        <v>-1.01246591949596E-2</v>
      </c>
      <c r="B131">
        <v>-2.452048387001881E-2</v>
      </c>
      <c r="C131">
        <f t="shared" ref="C131:C194" si="7">A131-B131</f>
        <v>1.439582467505921E-2</v>
      </c>
      <c r="D131">
        <v>7.1</v>
      </c>
      <c r="T131">
        <f t="shared" si="6"/>
        <v>1.2900000000000009</v>
      </c>
      <c r="U131">
        <f>($P$3*EXP(-$Q$3*T131)*SIN(2*PI()*T131/$R$3)+$S$3)</f>
        <v>-2.6162434084604125</v>
      </c>
      <c r="W131">
        <f t="shared" si="5"/>
        <v>1.2900000000000009</v>
      </c>
      <c r="X131">
        <v>-0.82868051874389337</v>
      </c>
      <c r="Y131">
        <v>472</v>
      </c>
    </row>
    <row r="132" spans="1:25" x14ac:dyDescent="0.3">
      <c r="A132">
        <v>6.4875482329034114E-17</v>
      </c>
      <c r="B132">
        <v>-3.5060019066443203E-2</v>
      </c>
      <c r="C132">
        <f t="shared" si="7"/>
        <v>3.5060019066443265E-2</v>
      </c>
      <c r="D132">
        <v>7</v>
      </c>
      <c r="T132">
        <f t="shared" si="6"/>
        <v>1.3000000000000009</v>
      </c>
      <c r="U132">
        <f>($P$3*EXP(-$Q$3*T132)*SIN(2*PI()*T132/$R$3)+$S$3)</f>
        <v>-2.5157565641860358</v>
      </c>
      <c r="W132">
        <f t="shared" ref="W132:W195" si="8">W131+0.01</f>
        <v>1.3000000000000009</v>
      </c>
      <c r="X132">
        <v>-0.84507222636634516</v>
      </c>
      <c r="Y132">
        <v>471</v>
      </c>
    </row>
    <row r="133" spans="1:25" x14ac:dyDescent="0.3">
      <c r="A133">
        <v>9.3462384044608812E-3</v>
      </c>
      <c r="B133">
        <v>-3.9072124918936441E-2</v>
      </c>
      <c r="C133">
        <f t="shared" si="7"/>
        <v>4.8418363323397322E-2</v>
      </c>
      <c r="D133">
        <v>6.9</v>
      </c>
      <c r="T133">
        <f t="shared" si="6"/>
        <v>1.3100000000000009</v>
      </c>
      <c r="U133">
        <f>($P$3*EXP(-$Q$3*T133)*SIN(2*PI()*T133/$R$3)+$S$3)</f>
        <v>-2.4114479905851889</v>
      </c>
      <c r="W133">
        <f t="shared" si="8"/>
        <v>1.3100000000000009</v>
      </c>
      <c r="X133">
        <v>-0.8600679532171196</v>
      </c>
      <c r="Y133">
        <v>470</v>
      </c>
    </row>
    <row r="134" spans="1:25" x14ac:dyDescent="0.3">
      <c r="A134">
        <v>1.4529568467535963E-2</v>
      </c>
      <c r="B134">
        <v>-3.6260198135833074E-2</v>
      </c>
      <c r="C134">
        <f t="shared" si="7"/>
        <v>5.0789766603369035E-2</v>
      </c>
      <c r="D134">
        <v>6.8</v>
      </c>
      <c r="T134">
        <f t="shared" si="6"/>
        <v>1.320000000000001</v>
      </c>
      <c r="U134">
        <f>($P$3*EXP(-$Q$3*T134)*SIN(2*PI()*T134/$R$3)+$S$3)</f>
        <v>-2.3035239298728238</v>
      </c>
      <c r="W134">
        <f t="shared" si="8"/>
        <v>1.320000000000001</v>
      </c>
      <c r="X134">
        <v>-0.87363277622468116</v>
      </c>
      <c r="Y134">
        <v>469</v>
      </c>
    </row>
    <row r="135" spans="1:25" x14ac:dyDescent="0.3">
      <c r="A135">
        <v>1.3959855939049172E-2</v>
      </c>
      <c r="B135">
        <v>-2.7495933641909508E-2</v>
      </c>
      <c r="C135">
        <f t="shared" si="7"/>
        <v>4.1455789580958677E-2</v>
      </c>
      <c r="D135">
        <v>6.7</v>
      </c>
      <c r="T135">
        <f t="shared" si="6"/>
        <v>1.330000000000001</v>
      </c>
      <c r="U135">
        <f>($P$3*EXP(-$Q$3*T135)*SIN(2*PI()*T135/$R$3)+$S$3)</f>
        <v>-2.1921957467505546</v>
      </c>
      <c r="W135">
        <f t="shared" si="8"/>
        <v>1.330000000000001</v>
      </c>
      <c r="X135">
        <v>-0.885734092899779</v>
      </c>
      <c r="Y135">
        <v>468</v>
      </c>
    </row>
    <row r="136" spans="1:25" x14ac:dyDescent="0.3">
      <c r="A136">
        <v>8.2893698473471469E-3</v>
      </c>
      <c r="B136">
        <v>-1.4604257385501781E-2</v>
      </c>
      <c r="C136">
        <f t="shared" si="7"/>
        <v>2.2893627232848927E-2</v>
      </c>
      <c r="D136">
        <v>6.6</v>
      </c>
      <c r="T136">
        <f t="shared" si="6"/>
        <v>1.340000000000001</v>
      </c>
      <c r="U136">
        <f>($P$3*EXP(-$Q$3*T136)*SIN(2*PI()*T136/$R$3)+$S$3)</f>
        <v>-2.077679526172429</v>
      </c>
      <c r="W136">
        <f t="shared" si="8"/>
        <v>1.340000000000001</v>
      </c>
      <c r="X136">
        <v>-0.8963416929627841</v>
      </c>
      <c r="Y136">
        <v>467</v>
      </c>
    </row>
    <row r="137" spans="1:25" x14ac:dyDescent="0.3">
      <c r="A137">
        <v>9.2959562211513213E-17</v>
      </c>
      <c r="B137">
        <v>-7.684198333349258E-17</v>
      </c>
      <c r="C137">
        <f t="shared" si="7"/>
        <v>1.6980154554500579E-16</v>
      </c>
      <c r="D137">
        <v>6.5</v>
      </c>
      <c r="T137">
        <f t="shared" si="6"/>
        <v>1.350000000000001</v>
      </c>
      <c r="U137">
        <f>($P$3*EXP(-$Q$3*T137)*SIN(2*PI()*T137/$R$3)+$S$3)</f>
        <v>-1.9601956652183778</v>
      </c>
      <c r="W137">
        <f t="shared" si="8"/>
        <v>1.350000000000001</v>
      </c>
      <c r="X137">
        <v>-0.90542782617113204</v>
      </c>
      <c r="Y137">
        <v>466</v>
      </c>
    </row>
    <row r="138" spans="1:25" x14ac:dyDescent="0.3">
      <c r="A138">
        <v>-7.6520528073306488E-3</v>
      </c>
      <c r="B138">
        <v>1.3753771645001481E-2</v>
      </c>
      <c r="C138">
        <f t="shared" si="7"/>
        <v>-2.140582445233213E-2</v>
      </c>
      <c r="D138">
        <v>6.4</v>
      </c>
      <c r="T138">
        <f t="shared" si="6"/>
        <v>1.360000000000001</v>
      </c>
      <c r="U138">
        <f>($P$3*EXP(-$Q$3*T138)*SIN(2*PI()*T138/$R$3)+$S$3)</f>
        <v>-1.8399684598281425</v>
      </c>
      <c r="W138">
        <f t="shared" si="8"/>
        <v>1.360000000000001</v>
      </c>
      <c r="X138">
        <v>-0.91296726620404989</v>
      </c>
      <c r="Y138">
        <v>465</v>
      </c>
    </row>
    <row r="139" spans="1:25" x14ac:dyDescent="0.3">
      <c r="A139">
        <v>-1.1895804533323772E-2</v>
      </c>
      <c r="B139">
        <v>2.4386705473628128E-2</v>
      </c>
      <c r="C139">
        <f t="shared" si="7"/>
        <v>-3.6282510006951901E-2</v>
      </c>
      <c r="D139">
        <v>6.3</v>
      </c>
      <c r="T139">
        <f t="shared" si="6"/>
        <v>1.370000000000001</v>
      </c>
      <c r="U139">
        <f>($P$3*EXP(-$Q$3*T139)*SIN(2*PI()*T139/$R$3)+$S$3)</f>
        <v>-1.7172256871529514</v>
      </c>
      <c r="W139">
        <f t="shared" si="8"/>
        <v>1.370000000000001</v>
      </c>
      <c r="X139">
        <v>-0.91893737046782531</v>
      </c>
      <c r="Y139">
        <v>464</v>
      </c>
    </row>
    <row r="140" spans="1:25" x14ac:dyDescent="0.3">
      <c r="A140">
        <v>-1.1429363365837853E-2</v>
      </c>
      <c r="B140">
        <v>3.0287063362731927E-2</v>
      </c>
      <c r="C140">
        <f t="shared" si="7"/>
        <v>-4.1716426728569782E-2</v>
      </c>
      <c r="D140">
        <v>6.2</v>
      </c>
      <c r="T140">
        <f t="shared" si="6"/>
        <v>1.380000000000001</v>
      </c>
      <c r="U140">
        <f>($P$3*EXP(-$Q$3*T140)*SIN(2*PI()*T140/$R$3)+$S$3)</f>
        <v>-1.5921981842854003</v>
      </c>
      <c r="W140">
        <f t="shared" si="8"/>
        <v>1.380000000000001</v>
      </c>
      <c r="X140">
        <v>-0.92331813569131838</v>
      </c>
      <c r="Y140">
        <v>463</v>
      </c>
    </row>
    <row r="141" spans="1:25" x14ac:dyDescent="0.3">
      <c r="A141">
        <v>-6.7867620176605458E-3</v>
      </c>
      <c r="B141">
        <v>3.0735222052308185E-2</v>
      </c>
      <c r="C141">
        <f t="shared" si="7"/>
        <v>-3.7521984069968733E-2</v>
      </c>
      <c r="D141">
        <v>6.1</v>
      </c>
      <c r="T141">
        <f t="shared" si="6"/>
        <v>1.390000000000001</v>
      </c>
      <c r="U141">
        <f>($P$3*EXP(-$Q$3*T141)*SIN(2*PI()*T141/$R$3)+$S$3)</f>
        <v>-1.4651194241298382</v>
      </c>
      <c r="W141">
        <f t="shared" si="8"/>
        <v>1.390000000000001</v>
      </c>
      <c r="X141">
        <v>-0.92609224918804012</v>
      </c>
      <c r="Y141">
        <v>462</v>
      </c>
    </row>
    <row r="142" spans="1:25" x14ac:dyDescent="0.3">
      <c r="A142">
        <v>-3.8055628957178343E-17</v>
      </c>
      <c r="B142">
        <v>2.5973100941869613E-2</v>
      </c>
      <c r="C142">
        <f t="shared" si="7"/>
        <v>-2.5973100941869651E-2</v>
      </c>
      <c r="D142">
        <v>6</v>
      </c>
      <c r="T142">
        <f t="shared" si="6"/>
        <v>1.400000000000001</v>
      </c>
      <c r="U142">
        <f>($P$3*EXP(-$Q$3*T142)*SIN(2*PI()*T142/$R$3)+$S$3)</f>
        <v>-1.3362250891760179</v>
      </c>
      <c r="W142">
        <f t="shared" si="8"/>
        <v>1.400000000000001</v>
      </c>
      <c r="X142">
        <v>-0.92724513566806033</v>
      </c>
      <c r="Y142">
        <v>461</v>
      </c>
    </row>
    <row r="143" spans="1:25" x14ac:dyDescent="0.3">
      <c r="A143">
        <v>6.264970957538335E-3</v>
      </c>
      <c r="B143">
        <v>1.7107361099918814E-2</v>
      </c>
      <c r="C143">
        <f t="shared" si="7"/>
        <v>-1.0842390142380479E-2</v>
      </c>
      <c r="D143">
        <v>5.9</v>
      </c>
      <c r="T143">
        <f t="shared" si="6"/>
        <v>1.410000000000001</v>
      </c>
      <c r="U143">
        <f>($P$3*EXP(-$Q$3*T143)*SIN(2*PI()*T143/$R$3)+$S$3)</f>
        <v>-1.2057526439378554</v>
      </c>
      <c r="W143">
        <f t="shared" si="8"/>
        <v>1.410000000000001</v>
      </c>
      <c r="X143">
        <v>-0.92676499949016622</v>
      </c>
      <c r="Y143">
        <v>460</v>
      </c>
    </row>
    <row r="144" spans="1:25" x14ac:dyDescent="0.3">
      <c r="A144">
        <v>9.7394610040366612E-3</v>
      </c>
      <c r="B144">
        <v>5.8723835446740091E-3</v>
      </c>
      <c r="C144">
        <f t="shared" si="7"/>
        <v>3.8670774593626521E-3</v>
      </c>
      <c r="D144">
        <v>5.8</v>
      </c>
      <c r="T144">
        <f t="shared" si="6"/>
        <v>1.420000000000001</v>
      </c>
      <c r="U144">
        <f>($P$3*EXP(-$Q$3*T144)*SIN(2*PI()*T144/$R$3)+$S$3)</f>
        <v>-1.0739409068169679</v>
      </c>
      <c r="W144">
        <f t="shared" si="8"/>
        <v>1.420000000000001</v>
      </c>
      <c r="X144">
        <v>-0.92464286225210368</v>
      </c>
      <c r="Y144">
        <v>459</v>
      </c>
    </row>
    <row r="145" spans="1:25" x14ac:dyDescent="0.3">
      <c r="A145">
        <v>9.3575712757143093E-3</v>
      </c>
      <c r="B145">
        <v>-5.6988283822125216E-3</v>
      </c>
      <c r="C145">
        <f t="shared" si="7"/>
        <v>1.5056399657926831E-2</v>
      </c>
      <c r="D145">
        <v>5.7</v>
      </c>
      <c r="T145">
        <f t="shared" si="6"/>
        <v>1.430000000000001</v>
      </c>
      <c r="U145">
        <f>($P$3*EXP(-$Q$3*T145)*SIN(2*PI()*T145/$R$3)+$S$3)</f>
        <v>-0.94102962214713126</v>
      </c>
      <c r="W145">
        <f t="shared" si="8"/>
        <v>1.430000000000001</v>
      </c>
      <c r="X145">
        <v>-0.92087259562436929</v>
      </c>
      <c r="Y145">
        <v>458</v>
      </c>
    </row>
    <row r="146" spans="1:25" x14ac:dyDescent="0.3">
      <c r="A146">
        <v>5.5565307776802349E-3</v>
      </c>
      <c r="B146">
        <v>-1.5634950806911591E-2</v>
      </c>
      <c r="C146">
        <f t="shared" si="7"/>
        <v>2.1191481584591824E-2</v>
      </c>
      <c r="D146">
        <v>5.6</v>
      </c>
      <c r="T146">
        <f t="shared" si="6"/>
        <v>1.4400000000000011</v>
      </c>
      <c r="U146">
        <f>($P$3*EXP(-$Q$3*T146)*SIN(2*PI()*T146/$R$3)+$S$3)</f>
        <v>-0.80725903317095982</v>
      </c>
      <c r="W146">
        <f t="shared" si="8"/>
        <v>1.4400000000000011</v>
      </c>
      <c r="X146">
        <v>-0.91545094934083904</v>
      </c>
      <c r="Y146">
        <v>457</v>
      </c>
    </row>
    <row r="147" spans="1:25" x14ac:dyDescent="0.3">
      <c r="A147">
        <v>1.9694888593531525E-21</v>
      </c>
      <c r="B147">
        <v>-2.2355255153160308E-2</v>
      </c>
      <c r="C147">
        <f t="shared" si="7"/>
        <v>2.2355255153160308E-2</v>
      </c>
      <c r="D147">
        <v>5.5</v>
      </c>
      <c r="T147">
        <f t="shared" si="6"/>
        <v>1.4500000000000011</v>
      </c>
      <c r="U147">
        <f>($P$3*EXP(-$Q$3*T147)*SIN(2*PI()*T147/$R$3)+$S$3)</f>
        <v>-0.67286945669392595</v>
      </c>
      <c r="W147">
        <f t="shared" si="8"/>
        <v>1.4500000000000011</v>
      </c>
      <c r="X147">
        <v>-0.90837757426760546</v>
      </c>
      <c r="Y147">
        <v>456</v>
      </c>
    </row>
    <row r="148" spans="1:25" x14ac:dyDescent="0.3">
      <c r="A148">
        <v>-5.1293243900769735E-3</v>
      </c>
      <c r="B148">
        <v>-2.4913486791996467E-2</v>
      </c>
      <c r="C148">
        <f t="shared" si="7"/>
        <v>1.9784162401919492E-2</v>
      </c>
      <c r="D148">
        <v>5.4</v>
      </c>
      <c r="T148">
        <f t="shared" si="6"/>
        <v>1.4600000000000011</v>
      </c>
      <c r="U148">
        <f>($P$3*EXP(-$Q$3*T148)*SIN(2*PI()*T148/$R$3)+$S$3)</f>
        <v>-0.53810086015348013</v>
      </c>
      <c r="W148">
        <f t="shared" si="8"/>
        <v>1.4600000000000011</v>
      </c>
      <c r="X148">
        <v>-0.899655040479588</v>
      </c>
      <c r="Y148">
        <v>455</v>
      </c>
    </row>
    <row r="149" spans="1:25" x14ac:dyDescent="0.3">
      <c r="A149">
        <v>-7.9739962424085816E-3</v>
      </c>
      <c r="B149">
        <v>-2.3120523114790521E-2</v>
      </c>
      <c r="C149">
        <f t="shared" si="7"/>
        <v>1.514652687238194E-2</v>
      </c>
      <c r="D149">
        <v>5.3</v>
      </c>
      <c r="T149">
        <f t="shared" si="6"/>
        <v>1.4700000000000011</v>
      </c>
      <c r="U149">
        <f>($P$3*EXP(-$Q$3*T149)*SIN(2*PI()*T149/$R$3)+$S$3)</f>
        <v>-0.40319244183237801</v>
      </c>
      <c r="W149">
        <f t="shared" si="8"/>
        <v>1.4700000000000011</v>
      </c>
      <c r="X149">
        <v>-0.88928885028290139</v>
      </c>
      <c r="Y149">
        <v>454</v>
      </c>
    </row>
    <row r="150" spans="1:25" x14ac:dyDescent="0.3">
      <c r="A150">
        <v>-7.6613313775464919E-3</v>
      </c>
      <c r="B150">
        <v>-1.7532181345205695E-2</v>
      </c>
      <c r="C150">
        <f t="shared" si="7"/>
        <v>9.8708499676592037E-3</v>
      </c>
      <c r="D150">
        <v>5.2</v>
      </c>
      <c r="T150">
        <f t="shared" si="6"/>
        <v>1.4800000000000011</v>
      </c>
      <c r="U150">
        <f>($P$3*EXP(-$Q$3*T150)*SIN(2*PI()*T150/$R$3)+$S$3)</f>
        <v>-0.26838221493541836</v>
      </c>
      <c r="W150">
        <f t="shared" si="8"/>
        <v>1.4800000000000011</v>
      </c>
      <c r="X150">
        <v>-0.8772874461295449</v>
      </c>
      <c r="Y150">
        <v>453</v>
      </c>
    </row>
    <row r="151" spans="1:25" x14ac:dyDescent="0.3">
      <c r="A151">
        <v>-4.5493026281111003E-3</v>
      </c>
      <c r="B151">
        <v>-9.3120856425261342E-3</v>
      </c>
      <c r="C151">
        <f t="shared" si="7"/>
        <v>4.7627830144150339E-3</v>
      </c>
      <c r="D151">
        <v>5.0999999999999996</v>
      </c>
      <c r="T151">
        <f t="shared" si="6"/>
        <v>1.4900000000000011</v>
      </c>
      <c r="U151">
        <f>($P$3*EXP(-$Q$3*T151)*SIN(2*PI()*T151/$R$3)+$S$3)</f>
        <v>-0.13390659623765677</v>
      </c>
      <c r="W151">
        <f t="shared" si="8"/>
        <v>1.4900000000000011</v>
      </c>
      <c r="X151">
        <v>-0.86366221337966853</v>
      </c>
      <c r="Y151">
        <v>452</v>
      </c>
    </row>
    <row r="152" spans="1:25" x14ac:dyDescent="0.3">
      <c r="A152">
        <v>-8.0169335180492041E-17</v>
      </c>
      <c r="B152">
        <v>-2.1230901561429449E-16</v>
      </c>
      <c r="C152">
        <f t="shared" si="7"/>
        <v>1.3213968043380245E-16</v>
      </c>
      <c r="D152">
        <v>5</v>
      </c>
      <c r="T152">
        <f t="shared" si="6"/>
        <v>1.5000000000000011</v>
      </c>
      <c r="U152">
        <f>($P$3*EXP(-$Q$3*T152)*SIN(2*PI()*T152/$R$3)+$S$3)</f>
        <v>1.3376999956827804E-14</v>
      </c>
      <c r="W152">
        <f t="shared" si="8"/>
        <v>1.5000000000000011</v>
      </c>
      <c r="X152">
        <v>-0.84842747787551487</v>
      </c>
      <c r="Y152">
        <v>451</v>
      </c>
    </row>
    <row r="153" spans="1:25" x14ac:dyDescent="0.3">
      <c r="A153">
        <v>4.1995356206689996E-3</v>
      </c>
      <c r="B153">
        <v>8.7697919918301101E-3</v>
      </c>
      <c r="C153">
        <f t="shared" si="7"/>
        <v>-4.5702563711611105E-3</v>
      </c>
      <c r="D153">
        <v>4.9000000000000004</v>
      </c>
      <c r="T153">
        <f t="shared" si="6"/>
        <v>1.5100000000000011</v>
      </c>
      <c r="U153">
        <f>($P$3*EXP(-$Q$3*T153)*SIN(2*PI()*T153/$R$3)+$S$3)</f>
        <v>0.1331055621655774</v>
      </c>
      <c r="W153">
        <f t="shared" si="8"/>
        <v>1.5100000000000011</v>
      </c>
      <c r="X153">
        <v>-0.83160049830013605</v>
      </c>
      <c r="Y153">
        <v>450</v>
      </c>
    </row>
    <row r="154" spans="1:25" x14ac:dyDescent="0.3">
      <c r="A154">
        <v>6.5285559485881821E-3</v>
      </c>
      <c r="B154">
        <v>1.5549649935294179E-2</v>
      </c>
      <c r="C154">
        <f t="shared" si="7"/>
        <v>-9.0210939867059973E-3</v>
      </c>
      <c r="D154">
        <v>4.8</v>
      </c>
      <c r="T154">
        <f t="shared" si="6"/>
        <v>1.5200000000000011</v>
      </c>
      <c r="U154">
        <f>($P$3*EXP(-$Q$3*T154)*SIN(2*PI()*T154/$R$3)+$S$3)</f>
        <v>0.26518087481294411</v>
      </c>
      <c r="W154">
        <f t="shared" si="8"/>
        <v>1.5200000000000011</v>
      </c>
      <c r="X154">
        <v>-0.81320145330295768</v>
      </c>
      <c r="Y154">
        <v>449</v>
      </c>
    </row>
    <row r="155" spans="1:25" x14ac:dyDescent="0.3">
      <c r="A155">
        <v>6.2725676083186044E-3</v>
      </c>
      <c r="B155">
        <v>1.9311884230030281E-2</v>
      </c>
      <c r="C155">
        <f t="shared" si="7"/>
        <v>-1.3039316621711677E-2</v>
      </c>
      <c r="D155">
        <v>4.7</v>
      </c>
      <c r="T155">
        <f t="shared" si="6"/>
        <v>1.5300000000000011</v>
      </c>
      <c r="U155">
        <f>($P$3*EXP(-$Q$3*T155)*SIN(2*PI()*T155/$R$3)+$S$3)</f>
        <v>0.39599990490918147</v>
      </c>
      <c r="W155">
        <f t="shared" si="8"/>
        <v>1.5300000000000011</v>
      </c>
      <c r="X155">
        <v>-0.79325342338353055</v>
      </c>
      <c r="Y155">
        <v>448</v>
      </c>
    </row>
    <row r="156" spans="1:25" x14ac:dyDescent="0.3">
      <c r="A156">
        <v>3.7246539666930287E-3</v>
      </c>
      <c r="B156">
        <v>1.9597642826898003E-2</v>
      </c>
      <c r="C156">
        <f t="shared" si="7"/>
        <v>-1.5872988860204974E-2</v>
      </c>
      <c r="D156">
        <v>4.5999999999999996</v>
      </c>
      <c r="T156">
        <f t="shared" si="6"/>
        <v>1.5400000000000011</v>
      </c>
      <c r="U156">
        <f>($P$3*EXP(-$Q$3*T156)*SIN(2*PI()*T156/$R$3)+$S$3)</f>
        <v>0.5253401801763079</v>
      </c>
      <c r="W156">
        <f t="shared" si="8"/>
        <v>1.5400000000000011</v>
      </c>
      <c r="X156">
        <v>-0.77178236753392981</v>
      </c>
      <c r="Y156">
        <v>447</v>
      </c>
    </row>
    <row r="157" spans="1:25" x14ac:dyDescent="0.3">
      <c r="A157">
        <v>4.4753048363371985E-17</v>
      </c>
      <c r="B157">
        <v>1.6561180345450077E-2</v>
      </c>
      <c r="C157">
        <f t="shared" si="7"/>
        <v>-1.6561180345450031E-2</v>
      </c>
      <c r="D157">
        <v>4.5</v>
      </c>
      <c r="T157">
        <f t="shared" si="6"/>
        <v>1.5500000000000012</v>
      </c>
      <c r="U157">
        <f>($P$3*EXP(-$Q$3*T157)*SIN(2*PI()*T157/$R$3)+$S$3)</f>
        <v>0.65298315890986025</v>
      </c>
      <c r="W157">
        <f t="shared" si="8"/>
        <v>1.5500000000000012</v>
      </c>
      <c r="X157">
        <v>-0.74881709464956303</v>
      </c>
      <c r="Y157">
        <v>446</v>
      </c>
    </row>
    <row r="158" spans="1:25" x14ac:dyDescent="0.3">
      <c r="A158">
        <v>-3.4382889612881557E-3</v>
      </c>
      <c r="B158">
        <v>1.0908135037267461E-2</v>
      </c>
      <c r="C158">
        <f t="shared" si="7"/>
        <v>-1.4346423998555617E-2</v>
      </c>
      <c r="D158">
        <v>4.4000000000000004</v>
      </c>
      <c r="T158">
        <f t="shared" si="6"/>
        <v>1.5600000000000012</v>
      </c>
      <c r="U158">
        <f>($P$3*EXP(-$Q$3*T158)*SIN(2*PI()*T158/$R$3)+$S$3)</f>
        <v>0.77871459067496496</v>
      </c>
      <c r="W158">
        <f t="shared" si="8"/>
        <v>1.5600000000000012</v>
      </c>
      <c r="X158">
        <v>-0.72438922972749453</v>
      </c>
      <c r="Y158">
        <v>445</v>
      </c>
    </row>
    <row r="159" spans="1:25" x14ac:dyDescent="0.3">
      <c r="A159">
        <v>-5.3451295282993198E-3</v>
      </c>
      <c r="B159">
        <v>3.7443970652047348E-3</v>
      </c>
      <c r="C159">
        <f t="shared" si="7"/>
        <v>-9.0895265935040555E-3</v>
      </c>
      <c r="D159">
        <v>4.3</v>
      </c>
      <c r="T159">
        <f t="shared" si="6"/>
        <v>1.5700000000000012</v>
      </c>
      <c r="U159">
        <f>($P$3*EXP(-$Q$3*T159)*SIN(2*PI()*T159/$R$3)+$S$3)</f>
        <v>0.90232486730045569</v>
      </c>
      <c r="W159">
        <f t="shared" si="8"/>
        <v>1.5700000000000012</v>
      </c>
      <c r="X159">
        <v>-0.69853317488069</v>
      </c>
      <c r="Y159">
        <v>444</v>
      </c>
    </row>
    <row r="160" spans="1:25" x14ac:dyDescent="0.3">
      <c r="A160">
        <v>-5.1355440016912441E-3</v>
      </c>
      <c r="B160">
        <v>-3.6337334077598663E-3</v>
      </c>
      <c r="C160">
        <f t="shared" si="7"/>
        <v>-1.5018105939313777E-3</v>
      </c>
      <c r="D160">
        <v>4.2</v>
      </c>
      <c r="T160">
        <f t="shared" si="6"/>
        <v>1.5800000000000012</v>
      </c>
      <c r="U160">
        <f>($P$3*EXP(-$Q$3*T160)*SIN(2*PI()*T160/$R$3)+$S$3)</f>
        <v>1.0236093636119306</v>
      </c>
      <c r="W160">
        <f t="shared" si="8"/>
        <v>1.5800000000000012</v>
      </c>
      <c r="X160">
        <v>-0.6712860652059105</v>
      </c>
      <c r="Y160">
        <v>443</v>
      </c>
    </row>
    <row r="161" spans="1:25" x14ac:dyDescent="0.3">
      <c r="A161">
        <v>-3.0494887471055197E-3</v>
      </c>
      <c r="B161">
        <v>-9.969284783708298E-3</v>
      </c>
      <c r="C161">
        <f t="shared" si="7"/>
        <v>6.9197960366027787E-3</v>
      </c>
      <c r="D161">
        <v>4.0999999999999996</v>
      </c>
      <c r="T161">
        <f t="shared" si="6"/>
        <v>1.5900000000000012</v>
      </c>
      <c r="U161">
        <f>($P$3*EXP(-$Q$3*T161)*SIN(2*PI()*T161/$R$3)+$S$3)</f>
        <v>1.142368767366182</v>
      </c>
      <c r="W161">
        <f t="shared" si="8"/>
        <v>1.5900000000000012</v>
      </c>
      <c r="X161">
        <v>-0.64268771955237558</v>
      </c>
      <c r="Y161">
        <v>442</v>
      </c>
    </row>
    <row r="162" spans="1:25" x14ac:dyDescent="0.3">
      <c r="A162">
        <v>-1.954228152932376E-17</v>
      </c>
      <c r="B162">
        <v>-1.4254340022342667E-2</v>
      </c>
      <c r="C162">
        <f t="shared" si="7"/>
        <v>1.4254340022342648E-2</v>
      </c>
      <c r="D162">
        <v>4</v>
      </c>
      <c r="T162">
        <f t="shared" si="6"/>
        <v>1.6000000000000012</v>
      </c>
      <c r="U162">
        <f>($P$3*EXP(-$Q$3*T162)*SIN(2*PI()*T162/$R$3)+$S$3)</f>
        <v>1.2584093978714497</v>
      </c>
      <c r="W162">
        <f t="shared" si="8"/>
        <v>1.6000000000000012</v>
      </c>
      <c r="X162">
        <v>-0.61278058624758158</v>
      </c>
      <c r="Y162">
        <v>441</v>
      </c>
    </row>
    <row r="163" spans="1:25" x14ac:dyDescent="0.3">
      <c r="A163">
        <v>2.8150329105751737E-3</v>
      </c>
      <c r="B163">
        <v>-1.5885540533634168E-2</v>
      </c>
      <c r="C163">
        <f t="shared" si="7"/>
        <v>1.8700573444209341E-2</v>
      </c>
      <c r="D163">
        <v>3.9</v>
      </c>
      <c r="T163">
        <f t="shared" si="6"/>
        <v>1.6100000000000012</v>
      </c>
      <c r="U163">
        <f>($P$3*EXP(-$Q$3*T163)*SIN(2*PI()*T163/$R$3)+$S$3)</f>
        <v>1.3715435128011253</v>
      </c>
      <c r="W163">
        <f t="shared" si="8"/>
        <v>1.6100000000000012</v>
      </c>
      <c r="X163">
        <v>-0.5816096838458461</v>
      </c>
      <c r="Y163">
        <v>440</v>
      </c>
    </row>
    <row r="164" spans="1:25" x14ac:dyDescent="0.3">
      <c r="A164">
        <v>4.3762219240038643E-3</v>
      </c>
      <c r="B164">
        <v>-1.4742296418212364E-2</v>
      </c>
      <c r="C164">
        <f t="shared" si="7"/>
        <v>1.9118518342216229E-2</v>
      </c>
      <c r="D164">
        <v>3.8</v>
      </c>
      <c r="T164">
        <f t="shared" si="6"/>
        <v>1.6200000000000012</v>
      </c>
      <c r="U164">
        <f>($P$3*EXP(-$Q$3*T164)*SIN(2*PI()*T164/$R$3)+$S$3)</f>
        <v>1.4815896027320912</v>
      </c>
      <c r="W164">
        <f t="shared" si="8"/>
        <v>1.6200000000000012</v>
      </c>
      <c r="X164">
        <v>-0.5492225369745426</v>
      </c>
      <c r="Y164">
        <v>439</v>
      </c>
    </row>
    <row r="165" spans="1:25" x14ac:dyDescent="0.3">
      <c r="A165">
        <v>4.2046278079697803E-3</v>
      </c>
      <c r="B165">
        <v>-1.1179012385041253E-2</v>
      </c>
      <c r="C165">
        <f t="shared" si="7"/>
        <v>1.5383640193011033E-2</v>
      </c>
      <c r="D165">
        <v>3.7</v>
      </c>
      <c r="T165">
        <f t="shared" si="6"/>
        <v>1.6300000000000012</v>
      </c>
      <c r="U165">
        <f>($P$3*EXP(-$Q$3*T165)*SIN(2*PI()*T165/$R$3)+$S$3)</f>
        <v>1.588372672963289</v>
      </c>
      <c r="W165">
        <f t="shared" si="8"/>
        <v>1.6300000000000012</v>
      </c>
      <c r="X165">
        <v>-0.51566910736186544</v>
      </c>
      <c r="Y165">
        <v>438</v>
      </c>
    </row>
    <row r="166" spans="1:25" x14ac:dyDescent="0.3">
      <c r="A166">
        <v>2.4967102184205725E-3</v>
      </c>
      <c r="B166">
        <v>-5.9376479559877897E-3</v>
      </c>
      <c r="C166">
        <f t="shared" si="7"/>
        <v>8.4343581744083622E-3</v>
      </c>
      <c r="D166">
        <v>3.6</v>
      </c>
      <c r="T166">
        <f t="shared" si="6"/>
        <v>1.6400000000000012</v>
      </c>
      <c r="U166">
        <f>($P$3*EXP(-$Q$3*T166)*SIN(2*PI()*T166/$R$3)+$S$3)</f>
        <v>1.6917245121952242</v>
      </c>
      <c r="W166">
        <f t="shared" si="8"/>
        <v>1.6400000000000012</v>
      </c>
      <c r="X166">
        <v>-0.48100172013919851</v>
      </c>
      <c r="Y166">
        <v>437</v>
      </c>
    </row>
    <row r="167" spans="1:25" x14ac:dyDescent="0.3">
      <c r="A167">
        <v>2.0008683075596604E-18</v>
      </c>
      <c r="B167">
        <v>6.2477094157502124E-17</v>
      </c>
      <c r="C167">
        <f t="shared" si="7"/>
        <v>-6.0476225849942467E-17</v>
      </c>
      <c r="D167">
        <v>3.5</v>
      </c>
      <c r="T167">
        <f t="shared" ref="T167:T230" si="9">T166+0.01</f>
        <v>1.6500000000000012</v>
      </c>
      <c r="U167">
        <f>($P$3*EXP(-$Q$3*T167)*SIN(2*PI()*T167/$R$3)+$S$3)</f>
        <v>1.791483947676574</v>
      </c>
      <c r="W167">
        <f t="shared" si="8"/>
        <v>1.6500000000000012</v>
      </c>
      <c r="X167">
        <v>-0.44527498551996725</v>
      </c>
      <c r="Y167">
        <v>436</v>
      </c>
    </row>
    <row r="168" spans="1:25" x14ac:dyDescent="0.3">
      <c r="A168">
        <v>-2.3047540148145276E-3</v>
      </c>
      <c r="B168">
        <v>5.5918662578582322E-3</v>
      </c>
      <c r="C168">
        <f t="shared" si="7"/>
        <v>-7.8966202726727594E-3</v>
      </c>
      <c r="D168">
        <v>3.4</v>
      </c>
      <c r="T168">
        <f t="shared" si="9"/>
        <v>1.6600000000000013</v>
      </c>
      <c r="U168">
        <f>($P$3*EXP(-$Q$3*T168)*SIN(2*PI()*T168/$R$3)+$S$3)</f>
        <v>1.8874970864503515</v>
      </c>
      <c r="W168">
        <f t="shared" si="8"/>
        <v>1.6600000000000013</v>
      </c>
      <c r="X168">
        <v>-0.40854571596563971</v>
      </c>
      <c r="Y168">
        <v>435</v>
      </c>
    </row>
    <row r="169" spans="1:25" x14ac:dyDescent="0.3">
      <c r="A169">
        <v>-3.5829474714760647E-3</v>
      </c>
      <c r="B169">
        <v>9.9148945466072495E-3</v>
      </c>
      <c r="C169">
        <f t="shared" si="7"/>
        <v>-1.3497842018083314E-2</v>
      </c>
      <c r="D169">
        <v>3.3</v>
      </c>
      <c r="T169">
        <f t="shared" si="9"/>
        <v>1.6700000000000013</v>
      </c>
      <c r="U169">
        <f>($P$3*EXP(-$Q$3*T169)*SIN(2*PI()*T169/$R$3)+$S$3)</f>
        <v>1.9796175423585929</v>
      </c>
      <c r="W169">
        <f t="shared" si="8"/>
        <v>1.6700000000000013</v>
      </c>
      <c r="X169">
        <v>-0.37087283895827533</v>
      </c>
      <c r="Y169">
        <v>434</v>
      </c>
    </row>
    <row r="170" spans="1:25" x14ac:dyDescent="0.3">
      <c r="A170">
        <v>-3.4424580916317337E-3</v>
      </c>
      <c r="B170">
        <v>1.2313801045927851E-2</v>
      </c>
      <c r="C170">
        <f t="shared" si="7"/>
        <v>-1.5756259137559583E-2</v>
      </c>
      <c r="D170">
        <v>3.2</v>
      </c>
      <c r="T170">
        <f t="shared" si="9"/>
        <v>1.6800000000000013</v>
      </c>
      <c r="U170">
        <f>($P$3*EXP(-$Q$3*T170)*SIN(2*PI()*T170/$R$3)+$S$3)</f>
        <v>2.0677066484917526</v>
      </c>
      <c r="W170">
        <f t="shared" si="8"/>
        <v>1.6800000000000013</v>
      </c>
      <c r="X170">
        <v>-0.33231730550744765</v>
      </c>
      <c r="Y170">
        <v>433</v>
      </c>
    </row>
    <row r="171" spans="1:25" x14ac:dyDescent="0.3">
      <c r="A171">
        <v>-2.0441334373449581E-3</v>
      </c>
      <c r="B171">
        <v>1.2496008771858714E-2</v>
      </c>
      <c r="C171">
        <f t="shared" si="7"/>
        <v>-1.4540142209203671E-2</v>
      </c>
      <c r="D171">
        <v>3.1</v>
      </c>
      <c r="T171">
        <f t="shared" si="9"/>
        <v>1.6900000000000013</v>
      </c>
      <c r="U171">
        <f>($P$3*EXP(-$Q$3*T171)*SIN(2*PI()*T171/$R$3)+$S$3)</f>
        <v>2.1516336547962993</v>
      </c>
      <c r="W171">
        <f t="shared" si="8"/>
        <v>1.6900000000000013</v>
      </c>
      <c r="X171">
        <v>-0.29294199452760877</v>
      </c>
      <c r="Y171">
        <v>432</v>
      </c>
    </row>
    <row r="172" spans="1:25" x14ac:dyDescent="0.3">
      <c r="A172">
        <v>9.8232382218613474E-18</v>
      </c>
      <c r="B172">
        <v>1.0559874812344128E-2</v>
      </c>
      <c r="C172">
        <f t="shared" si="7"/>
        <v>-1.0559874812344118E-2</v>
      </c>
      <c r="D172">
        <v>3</v>
      </c>
      <c r="T172">
        <f t="shared" si="9"/>
        <v>1.7000000000000013</v>
      </c>
      <c r="U172">
        <f>($P$3*EXP(-$Q$3*T172)*SIN(2*PI()*T172/$R$3)+$S$3)</f>
        <v>2.2312759105819508</v>
      </c>
      <c r="W172">
        <f t="shared" si="8"/>
        <v>1.7000000000000013</v>
      </c>
      <c r="X172">
        <v>-0.25281161323029</v>
      </c>
      <c r="Y172">
        <v>431</v>
      </c>
    </row>
    <row r="173" spans="1:25" x14ac:dyDescent="0.3">
      <c r="A173">
        <v>1.8869729902086093E-3</v>
      </c>
      <c r="B173">
        <v>6.955333981453489E-3</v>
      </c>
      <c r="C173">
        <f t="shared" si="7"/>
        <v>-5.0683609912448796E-3</v>
      </c>
      <c r="D173">
        <v>2.9</v>
      </c>
      <c r="T173">
        <f t="shared" si="9"/>
        <v>1.7100000000000013</v>
      </c>
      <c r="U173">
        <f>($P$3*EXP(-$Q$3*T173)*SIN(2*PI()*T173/$R$3)+$S$3)</f>
        <v>2.3065190316979658</v>
      </c>
      <c r="W173">
        <f t="shared" si="8"/>
        <v>1.7100000000000013</v>
      </c>
      <c r="X173">
        <v>-0.2119925936832488</v>
      </c>
      <c r="Y173">
        <v>430</v>
      </c>
    </row>
    <row r="174" spans="1:25" x14ac:dyDescent="0.3">
      <c r="A174">
        <v>2.9334692815604527E-3</v>
      </c>
      <c r="B174">
        <v>2.3875329796244119E-3</v>
      </c>
      <c r="C174">
        <f t="shared" si="7"/>
        <v>5.4593630193604074E-4</v>
      </c>
      <c r="D174">
        <v>2.8</v>
      </c>
      <c r="T174">
        <f t="shared" si="9"/>
        <v>1.7200000000000013</v>
      </c>
      <c r="U174">
        <f>($P$3*EXP(-$Q$3*T174)*SIN(2*PI()*T174/$R$3)+$S$3)</f>
        <v>2.3772570521763638</v>
      </c>
      <c r="W174">
        <f t="shared" si="8"/>
        <v>1.7200000000000013</v>
      </c>
      <c r="X174">
        <v>-0.17055298569643021</v>
      </c>
      <c r="Y174">
        <v>429</v>
      </c>
    </row>
    <row r="175" spans="1:25" x14ac:dyDescent="0.3">
      <c r="A175">
        <v>2.8184463058010378E-3</v>
      </c>
      <c r="B175">
        <v>-2.3169707162761302E-3</v>
      </c>
      <c r="C175">
        <f t="shared" si="7"/>
        <v>5.135417022077168E-3</v>
      </c>
      <c r="D175">
        <v>2.7</v>
      </c>
      <c r="T175">
        <f t="shared" si="9"/>
        <v>1.7300000000000013</v>
      </c>
      <c r="U175">
        <f>($P$3*EXP(-$Q$3*T175)*SIN(2*PI()*T175/$R$3)+$S$3)</f>
        <v>2.4433925601683328</v>
      </c>
      <c r="W175">
        <f t="shared" si="8"/>
        <v>1.7300000000000013</v>
      </c>
      <c r="X175">
        <v>-0.12856234620214416</v>
      </c>
      <c r="Y175">
        <v>428</v>
      </c>
    </row>
    <row r="176" spans="1:25" x14ac:dyDescent="0.3">
      <c r="A176">
        <v>1.6735949085493131E-3</v>
      </c>
      <c r="B176">
        <v>-6.3566966296270504E-3</v>
      </c>
      <c r="C176">
        <f t="shared" si="7"/>
        <v>8.030291538176363E-3</v>
      </c>
      <c r="D176">
        <v>2.6</v>
      </c>
      <c r="T176">
        <f t="shared" si="9"/>
        <v>1.7400000000000013</v>
      </c>
      <c r="U176">
        <f>($P$3*EXP(-$Q$3*T176)*SIN(2*PI()*T176/$R$3)+$S$3)</f>
        <v>2.5048368180288367</v>
      </c>
      <c r="W176">
        <f t="shared" si="8"/>
        <v>1.7400000000000013</v>
      </c>
      <c r="X176">
        <v>-8.6091625303975003E-2</v>
      </c>
      <c r="Y176">
        <v>427</v>
      </c>
    </row>
    <row r="177" spans="1:25" x14ac:dyDescent="0.3">
      <c r="A177">
        <v>2.1449469799591636E-17</v>
      </c>
      <c r="B177">
        <v>-9.0889684810346559E-3</v>
      </c>
      <c r="C177">
        <f t="shared" si="7"/>
        <v>9.0889684810346767E-3</v>
      </c>
      <c r="D177">
        <v>2.5</v>
      </c>
      <c r="T177">
        <f t="shared" si="9"/>
        <v>1.7500000000000013</v>
      </c>
      <c r="U177">
        <f>($P$3*EXP(-$Q$3*T177)*SIN(2*PI()*T177/$R$3)+$S$3)</f>
        <v>2.5615098664331164</v>
      </c>
      <c r="W177">
        <f t="shared" si="8"/>
        <v>1.7500000000000013</v>
      </c>
      <c r="X177">
        <v>-4.3213049175874797E-2</v>
      </c>
      <c r="Y177">
        <v>426</v>
      </c>
    </row>
    <row r="178" spans="1:25" x14ac:dyDescent="0.3">
      <c r="A178">
        <v>-1.544922817311313E-3</v>
      </c>
      <c r="B178">
        <v>-1.0129067847973917E-2</v>
      </c>
      <c r="C178">
        <f t="shared" si="7"/>
        <v>8.584145030662604E-3</v>
      </c>
      <c r="D178">
        <v>2.4</v>
      </c>
      <c r="T178">
        <f t="shared" si="9"/>
        <v>1.7600000000000013</v>
      </c>
      <c r="U178">
        <f>($P$3*EXP(-$Q$3*T178)*SIN(2*PI()*T178/$R$3)+$S$3)</f>
        <v>2.6133406124375647</v>
      </c>
      <c r="W178">
        <f t="shared" si="8"/>
        <v>1.7600000000000013</v>
      </c>
      <c r="X178">
        <v>2.9506307805177055E-13</v>
      </c>
      <c r="Y178">
        <v>425</v>
      </c>
    </row>
    <row r="179" spans="1:25" x14ac:dyDescent="0.3">
      <c r="A179">
        <v>-2.401721514023107E-3</v>
      </c>
      <c r="B179">
        <v>-9.4001032158050595E-3</v>
      </c>
      <c r="C179">
        <f t="shared" si="7"/>
        <v>6.9983817017819526E-3</v>
      </c>
      <c r="D179">
        <v>2.2999999999999998</v>
      </c>
      <c r="T179">
        <f t="shared" si="9"/>
        <v>1.7700000000000014</v>
      </c>
      <c r="U179">
        <f>($P$3*EXP(-$Q$3*T179)*SIN(2*PI()*T179/$R$3)+$S$3)</f>
        <v>2.6602669014262239</v>
      </c>
      <c r="W179">
        <f t="shared" si="8"/>
        <v>1.7700000000000014</v>
      </c>
      <c r="X179">
        <v>4.3473106864412664E-2</v>
      </c>
      <c r="Y179">
        <v>424</v>
      </c>
    </row>
    <row r="180" spans="1:25" x14ac:dyDescent="0.3">
      <c r="A180">
        <v>-2.3075486664583364E-3</v>
      </c>
      <c r="B180">
        <v>-7.128053004030719E-3</v>
      </c>
      <c r="C180">
        <f t="shared" si="7"/>
        <v>4.820504337572383E-3</v>
      </c>
      <c r="D180">
        <v>2.2000000000000002</v>
      </c>
      <c r="T180">
        <f t="shared" si="9"/>
        <v>1.7800000000000014</v>
      </c>
      <c r="U180">
        <f>($P$3*EXP(-$Q$3*T180)*SIN(2*PI()*T180/$R$3)+$S$3)</f>
        <v>2.7022355729127887</v>
      </c>
      <c r="W180">
        <f t="shared" si="8"/>
        <v>1.7800000000000014</v>
      </c>
      <c r="X180">
        <v>8.7130948274182607E-2</v>
      </c>
      <c r="Y180">
        <v>423</v>
      </c>
    </row>
    <row r="181" spans="1:25" x14ac:dyDescent="0.3">
      <c r="A181">
        <v>-1.3702236198240485E-3</v>
      </c>
      <c r="B181">
        <v>-3.7860114911572357E-3</v>
      </c>
      <c r="C181">
        <f t="shared" si="7"/>
        <v>2.415787871333187E-3</v>
      </c>
      <c r="D181">
        <v>2.1</v>
      </c>
      <c r="T181">
        <f t="shared" si="9"/>
        <v>1.7900000000000014</v>
      </c>
      <c r="U181">
        <f>($P$3*EXP(-$Q$3*T181)*SIN(2*PI()*T181/$R$3)+$S$3)</f>
        <v>2.7392025001965954</v>
      </c>
      <c r="W181">
        <f t="shared" si="8"/>
        <v>1.7900000000000014</v>
      </c>
      <c r="X181">
        <v>0.13089742106141722</v>
      </c>
      <c r="Y181">
        <v>422</v>
      </c>
    </row>
    <row r="182" spans="1:25" x14ac:dyDescent="0.3">
      <c r="A182">
        <v>-9.8785272555654303E-18</v>
      </c>
      <c r="B182">
        <v>-2.6560714383895832E-17</v>
      </c>
      <c r="C182">
        <f t="shared" si="7"/>
        <v>1.6682187128330401E-17</v>
      </c>
      <c r="D182">
        <v>2</v>
      </c>
      <c r="T182">
        <f t="shared" si="9"/>
        <v>1.8000000000000014</v>
      </c>
      <c r="U182">
        <f>($P$3*EXP(-$Q$3*T182)*SIN(2*PI()*T182/$R$3)+$S$3)</f>
        <v>2.7711326138994821</v>
      </c>
      <c r="W182">
        <f t="shared" si="8"/>
        <v>1.8000000000000014</v>
      </c>
      <c r="X182">
        <v>0.17469577193677258</v>
      </c>
      <c r="Y182">
        <v>421</v>
      </c>
    </row>
    <row r="183" spans="1:25" x14ac:dyDescent="0.3">
      <c r="A183">
        <v>1.2648758216646297E-3</v>
      </c>
      <c r="B183">
        <v>3.5655313461142478E-3</v>
      </c>
      <c r="C183">
        <f t="shared" si="7"/>
        <v>-2.3006555244496178E-3</v>
      </c>
      <c r="D183">
        <v>1.9</v>
      </c>
      <c r="T183">
        <f t="shared" si="9"/>
        <v>1.8100000000000014</v>
      </c>
      <c r="U183">
        <f>($P$3*EXP(-$Q$3*T183)*SIN(2*PI()*T183/$R$3)+$S$3)</f>
        <v>2.7979999094385533</v>
      </c>
      <c r="W183">
        <f t="shared" si="8"/>
        <v>1.8100000000000014</v>
      </c>
      <c r="X183">
        <v>0.21844872932605153</v>
      </c>
      <c r="Y183">
        <v>420</v>
      </c>
    </row>
    <row r="184" spans="1:25" x14ac:dyDescent="0.3">
      <c r="A184">
        <v>1.966363263859731E-3</v>
      </c>
      <c r="B184">
        <v>6.3220158832779372E-3</v>
      </c>
      <c r="C184">
        <f t="shared" si="7"/>
        <v>-4.3556526194182058E-3</v>
      </c>
      <c r="D184">
        <v>1.8</v>
      </c>
      <c r="T184">
        <f t="shared" si="9"/>
        <v>1.8200000000000014</v>
      </c>
      <c r="U184">
        <f>($P$3*EXP(-$Q$3*T184)*SIN(2*PI()*T184/$R$3)+$S$3)</f>
        <v>2.819787438517805</v>
      </c>
      <c r="W184">
        <f t="shared" si="8"/>
        <v>1.8200000000000014</v>
      </c>
      <c r="X184">
        <v>0.26207863691656036</v>
      </c>
      <c r="Y184">
        <v>419</v>
      </c>
    </row>
    <row r="185" spans="1:25" x14ac:dyDescent="0.3">
      <c r="A185">
        <v>1.889261057453526E-3</v>
      </c>
      <c r="B185">
        <v>7.8516262003532501E-3</v>
      </c>
      <c r="C185">
        <f t="shared" si="7"/>
        <v>-5.962365142899724E-3</v>
      </c>
      <c r="D185">
        <v>1.7</v>
      </c>
      <c r="T185">
        <f t="shared" si="9"/>
        <v>1.8300000000000014</v>
      </c>
      <c r="U185">
        <f>($P$3*EXP(-$Q$3*T185)*SIN(2*PI()*T185/$R$3)+$S$3)</f>
        <v>2.8364872847491713</v>
      </c>
      <c r="W185">
        <f t="shared" si="8"/>
        <v>1.8300000000000014</v>
      </c>
      <c r="X185">
        <v>0.30550758868764899</v>
      </c>
      <c r="Y185">
        <v>418</v>
      </c>
    </row>
    <row r="186" spans="1:25" x14ac:dyDescent="0.3">
      <c r="A186">
        <v>1.1218442161437989E-3</v>
      </c>
      <c r="B186">
        <v>7.96780697584973E-3</v>
      </c>
      <c r="C186">
        <f t="shared" si="7"/>
        <v>-6.8459627597059307E-3</v>
      </c>
      <c r="D186">
        <v>1.6</v>
      </c>
      <c r="T186">
        <f t="shared" si="9"/>
        <v>1.8400000000000014</v>
      </c>
      <c r="U186">
        <f>($P$3*EXP(-$Q$3*T186)*SIN(2*PI()*T186/$R$3)+$S$3)</f>
        <v>2.8481005235407948</v>
      </c>
      <c r="W186">
        <f t="shared" si="8"/>
        <v>1.8400000000000014</v>
      </c>
      <c r="X186">
        <v>0.34865756519548158</v>
      </c>
      <c r="Y186">
        <v>417</v>
      </c>
    </row>
    <row r="187" spans="1:25" x14ac:dyDescent="0.3">
      <c r="A187">
        <v>1.7976985349985887E-18</v>
      </c>
      <c r="B187">
        <v>6.7332734579523346E-3</v>
      </c>
      <c r="C187">
        <f t="shared" si="7"/>
        <v>-6.7332734579523329E-3</v>
      </c>
      <c r="D187">
        <v>1.5</v>
      </c>
      <c r="T187">
        <f t="shared" si="9"/>
        <v>1.8500000000000014</v>
      </c>
      <c r="U187">
        <f>($P$3*EXP(-$Q$3*T187)*SIN(2*PI()*T187/$R$3)+$S$3)</f>
        <v>2.8546371664171506</v>
      </c>
      <c r="W187">
        <f t="shared" si="8"/>
        <v>1.8500000000000014</v>
      </c>
      <c r="X187">
        <v>0.39145057087856361</v>
      </c>
      <c r="Y187">
        <v>416</v>
      </c>
    </row>
    <row r="188" spans="1:25" x14ac:dyDescent="0.3">
      <c r="A188">
        <v>-1.0355927340216181E-3</v>
      </c>
      <c r="B188">
        <v>4.4349167505063408E-3</v>
      </c>
      <c r="C188">
        <f t="shared" si="7"/>
        <v>-5.4705094845279587E-3</v>
      </c>
      <c r="D188">
        <v>1.4</v>
      </c>
      <c r="T188">
        <f t="shared" si="9"/>
        <v>1.8600000000000014</v>
      </c>
      <c r="U188">
        <f>($P$3*EXP(-$Q$3*T188)*SIN(2*PI()*T188/$R$3)+$S$3)</f>
        <v>2.8561160899620375</v>
      </c>
      <c r="W188">
        <f t="shared" si="8"/>
        <v>1.8600000000000014</v>
      </c>
      <c r="X188">
        <v>0.43380877214740782</v>
      </c>
      <c r="Y188">
        <v>415</v>
      </c>
    </row>
    <row r="189" spans="1:25" x14ac:dyDescent="0.3">
      <c r="A189">
        <v>-1.6099220758447575E-3</v>
      </c>
      <c r="B189">
        <v>1.5223582407338893E-3</v>
      </c>
      <c r="C189">
        <f t="shared" si="7"/>
        <v>-3.1322803165786469E-3</v>
      </c>
      <c r="D189">
        <v>1.3</v>
      </c>
      <c r="T189">
        <f t="shared" si="9"/>
        <v>1.8700000000000014</v>
      </c>
      <c r="U189">
        <f>($P$3*EXP(-$Q$3*T189)*SIN(2*PI()*T189/$R$3)+$S$3)</f>
        <v>2.8525649496013505</v>
      </c>
      <c r="W189">
        <f t="shared" si="8"/>
        <v>1.8700000000000014</v>
      </c>
      <c r="X189">
        <v>0.47565463601867197</v>
      </c>
      <c r="Y189">
        <v>414</v>
      </c>
    </row>
    <row r="190" spans="1:25" x14ac:dyDescent="0.3">
      <c r="A190">
        <v>-1.5467961283298348E-3</v>
      </c>
      <c r="B190">
        <v>-1.477365755180974E-3</v>
      </c>
      <c r="C190">
        <f t="shared" si="7"/>
        <v>-6.9430373148860868E-5</v>
      </c>
      <c r="D190">
        <v>1.2</v>
      </c>
      <c r="T190">
        <f t="shared" si="9"/>
        <v>1.8800000000000014</v>
      </c>
      <c r="U190">
        <f>($P$3*EXP(-$Q$3*T190)*SIN(2*PI()*T190/$R$3)+$S$3)</f>
        <v>2.8440200784678984</v>
      </c>
      <c r="W190">
        <f t="shared" si="8"/>
        <v>1.8800000000000014</v>
      </c>
      <c r="X190">
        <v>0.51691106905200856</v>
      </c>
      <c r="Y190">
        <v>413</v>
      </c>
    </row>
    <row r="191" spans="1:25" x14ac:dyDescent="0.3">
      <c r="A191">
        <v>-9.1848835991958618E-4</v>
      </c>
      <c r="B191">
        <v>-4.0532087223694143E-3</v>
      </c>
      <c r="C191">
        <f t="shared" si="7"/>
        <v>3.1347203624498281E-3</v>
      </c>
      <c r="D191">
        <v>1.1000000000000001</v>
      </c>
      <c r="T191">
        <f t="shared" si="9"/>
        <v>1.8900000000000015</v>
      </c>
      <c r="U191">
        <f>($P$3*EXP(-$Q$3*T191)*SIN(2*PI()*T191/$R$3)+$S$3)</f>
        <v>2.8305263716153033</v>
      </c>
      <c r="W191">
        <f t="shared" si="8"/>
        <v>1.8900000000000015</v>
      </c>
      <c r="X191">
        <v>0.55750155634560916</v>
      </c>
      <c r="Y191">
        <v>412</v>
      </c>
    </row>
    <row r="192" spans="1:25" x14ac:dyDescent="0.3">
      <c r="A192">
        <v>-1.7657415143935524E-17</v>
      </c>
      <c r="B192">
        <v>-5.7953821727106582E-3</v>
      </c>
      <c r="C192">
        <f t="shared" si="7"/>
        <v>5.7953821727106409E-3</v>
      </c>
      <c r="D192">
        <v>1</v>
      </c>
      <c r="T192">
        <f t="shared" si="9"/>
        <v>1.9000000000000015</v>
      </c>
      <c r="U192">
        <f>($P$3*EXP(-$Q$3*T192)*SIN(2*PI()*T192/$R$3)+$S$3)</f>
        <v>2.8121371558721866</v>
      </c>
      <c r="W192">
        <f t="shared" si="8"/>
        <v>1.9000000000000015</v>
      </c>
      <c r="X192">
        <v>0.59735030034500736</v>
      </c>
      <c r="Y192">
        <v>411</v>
      </c>
    </row>
    <row r="193" spans="1:25" x14ac:dyDescent="0.3">
      <c r="A193">
        <v>8.4787161900761008E-4</v>
      </c>
      <c r="B193">
        <v>-6.4585788095551464E-3</v>
      </c>
      <c r="C193">
        <f t="shared" si="7"/>
        <v>7.3064504285627564E-3</v>
      </c>
      <c r="D193">
        <v>0.9</v>
      </c>
      <c r="T193">
        <f t="shared" si="9"/>
        <v>1.9100000000000015</v>
      </c>
      <c r="U193">
        <f>($P$3*EXP(-$Q$3*T193)*SIN(2*PI()*T193/$R$3)+$S$3)</f>
        <v>2.7889140456513486</v>
      </c>
      <c r="W193">
        <f t="shared" si="8"/>
        <v>1.9100000000000015</v>
      </c>
      <c r="X193">
        <v>0.63638235921853759</v>
      </c>
      <c r="Y193">
        <v>410</v>
      </c>
    </row>
    <row r="194" spans="1:25" x14ac:dyDescent="0.3">
      <c r="A194">
        <v>1.3180927135532483E-3</v>
      </c>
      <c r="B194">
        <v>-5.9937704385476529E-3</v>
      </c>
      <c r="C194">
        <f t="shared" si="7"/>
        <v>7.3118631521009014E-3</v>
      </c>
      <c r="D194">
        <v>0.8</v>
      </c>
      <c r="T194">
        <f t="shared" si="9"/>
        <v>1.9200000000000015</v>
      </c>
      <c r="U194">
        <f>($P$3*EXP(-$Q$3*T194)*SIN(2*PI()*T194/$R$3)+$S$3)</f>
        <v>2.7609267850514421</v>
      </c>
      <c r="W194">
        <f t="shared" si="8"/>
        <v>1.9200000000000015</v>
      </c>
      <c r="X194">
        <v>0.67452378455205042</v>
      </c>
      <c r="Y194">
        <v>409</v>
      </c>
    </row>
    <row r="195" spans="1:25" x14ac:dyDescent="0.3">
      <c r="A195">
        <v>1.2664095590055908E-3</v>
      </c>
      <c r="B195">
        <v>-4.5450472616221649E-3</v>
      </c>
      <c r="C195">
        <f t="shared" ref="C195:C202" si="10">A195-B195</f>
        <v>5.8114568206277554E-3</v>
      </c>
      <c r="D195">
        <v>0.7</v>
      </c>
      <c r="T195">
        <f t="shared" si="9"/>
        <v>1.9300000000000015</v>
      </c>
      <c r="U195">
        <f>($P$3*EXP(-$Q$3*T195)*SIN(2*PI()*T195/$R$3)+$S$3)</f>
        <v>2.7282530766107551</v>
      </c>
      <c r="W195">
        <f t="shared" si="8"/>
        <v>1.9300000000000015</v>
      </c>
      <c r="X195">
        <v>0.7117017581152868</v>
      </c>
      <c r="Y195">
        <v>408</v>
      </c>
    </row>
    <row r="196" spans="1:25" x14ac:dyDescent="0.3">
      <c r="A196">
        <v>7.5199466661031965E-4</v>
      </c>
      <c r="B196">
        <v>-2.4140675091254213E-3</v>
      </c>
      <c r="C196">
        <f t="shared" si="10"/>
        <v>3.1660621757357409E-3</v>
      </c>
      <c r="D196">
        <v>0.6</v>
      </c>
      <c r="T196">
        <f t="shared" si="9"/>
        <v>1.9400000000000015</v>
      </c>
      <c r="U196">
        <f>($P$3*EXP(-$Q$3*T196)*SIN(2*PI()*T196/$R$3)+$S$3)</f>
        <v>2.6909783970939904</v>
      </c>
      <c r="W196">
        <f t="shared" ref="W196:W259" si="11">W195+0.01</f>
        <v>1.9400000000000015</v>
      </c>
      <c r="X196">
        <v>0.74784472745244446</v>
      </c>
      <c r="Y196">
        <v>407</v>
      </c>
    </row>
    <row r="197" spans="1:25" x14ac:dyDescent="0.3">
      <c r="A197">
        <v>1.0240251457617053E-17</v>
      </c>
      <c r="B197">
        <v>-5.9273009349911709E-17</v>
      </c>
      <c r="C197">
        <f t="shared" si="10"/>
        <v>6.9513260807528755E-17</v>
      </c>
      <c r="D197">
        <v>0.5</v>
      </c>
      <c r="T197">
        <f t="shared" si="9"/>
        <v>1.9500000000000015</v>
      </c>
      <c r="U197">
        <f>($P$3*EXP(-$Q$3*T197)*SIN(2*PI()*T197/$R$3)+$S$3)</f>
        <v>2.6491958007134713</v>
      </c>
      <c r="W197">
        <f t="shared" si="11"/>
        <v>1.9500000000000015</v>
      </c>
      <c r="X197">
        <v>0.78288254005003954</v>
      </c>
      <c r="Y197">
        <v>406</v>
      </c>
    </row>
    <row r="198" spans="1:25" x14ac:dyDescent="0.3">
      <c r="A198">
        <v>-6.9417856914355135E-4</v>
      </c>
      <c r="B198">
        <v>2.2734831617723574E-3</v>
      </c>
      <c r="C198">
        <f t="shared" si="10"/>
        <v>-2.9676617309159089E-3</v>
      </c>
      <c r="D198">
        <v>0.4</v>
      </c>
      <c r="T198">
        <f t="shared" si="9"/>
        <v>1.9600000000000015</v>
      </c>
      <c r="U198">
        <f>($P$3*EXP(-$Q$3*T198)*SIN(2*PI()*T198/$R$3)+$S$3)</f>
        <v>2.6030057102059092</v>
      </c>
      <c r="W198">
        <f t="shared" si="11"/>
        <v>1.9600000000000015</v>
      </c>
      <c r="X198">
        <v>0.81674657583617383</v>
      </c>
      <c r="Y198">
        <v>405</v>
      </c>
    </row>
    <row r="199" spans="1:25" x14ac:dyDescent="0.3">
      <c r="A199">
        <v>-1.0791630399940475E-3</v>
      </c>
      <c r="B199">
        <v>4.031095302178031E-3</v>
      </c>
      <c r="C199">
        <f t="shared" si="10"/>
        <v>-5.1102583421720783E-3</v>
      </c>
      <c r="D199">
        <v>0.3</v>
      </c>
      <c r="T199">
        <f t="shared" si="9"/>
        <v>1.9700000000000015</v>
      </c>
      <c r="U199">
        <f>($P$3*EXP(-$Q$3*T199)*SIN(2*PI()*T199/$R$3)+$S$3)</f>
        <v>2.5525156962046567</v>
      </c>
      <c r="W199">
        <f t="shared" si="11"/>
        <v>1.9700000000000015</v>
      </c>
      <c r="X199">
        <v>0.84936987776689732</v>
      </c>
      <c r="Y199">
        <v>404</v>
      </c>
    </row>
    <row r="200" spans="1:25" x14ac:dyDescent="0.3">
      <c r="A200">
        <v>-1.0368484519498009E-3</v>
      </c>
      <c r="B200">
        <v>5.0064179013563168E-3</v>
      </c>
      <c r="C200">
        <f t="shared" si="10"/>
        <v>-6.0432663533061173E-3</v>
      </c>
      <c r="D200">
        <v>0.2</v>
      </c>
      <c r="T200">
        <f t="shared" si="9"/>
        <v>1.9800000000000015</v>
      </c>
      <c r="U200">
        <f>($P$3*EXP(-$Q$3*T200)*SIN(2*PI()*T200/$R$3)+$S$3)</f>
        <v>2.497840245365353</v>
      </c>
      <c r="W200">
        <f t="shared" si="11"/>
        <v>1.9800000000000015</v>
      </c>
      <c r="X200">
        <v>0.88068728025710663</v>
      </c>
      <c r="Y200">
        <v>403</v>
      </c>
    </row>
    <row r="201" spans="1:25" x14ac:dyDescent="0.3">
      <c r="A201">
        <v>-6.1568115970448984E-4</v>
      </c>
      <c r="B201">
        <v>5.0804980344901296E-3</v>
      </c>
      <c r="C201">
        <f t="shared" si="10"/>
        <v>-5.6961791941946196E-3</v>
      </c>
      <c r="D201">
        <v>0.1</v>
      </c>
      <c r="T201">
        <f t="shared" si="9"/>
        <v>1.9900000000000015</v>
      </c>
      <c r="U201">
        <f>($P$3*EXP(-$Q$3*T201)*SIN(2*PI()*T201/$R$3)+$S$3)</f>
        <v>2.439100517719873</v>
      </c>
      <c r="W201">
        <f t="shared" si="11"/>
        <v>1.9900000000000015</v>
      </c>
      <c r="X201">
        <v>0.91063553521594276</v>
      </c>
      <c r="Y201">
        <v>402</v>
      </c>
    </row>
    <row r="202" spans="1:25" x14ac:dyDescent="0.3">
      <c r="A202">
        <v>-4.9318982430521727E-18</v>
      </c>
      <c r="B202">
        <v>4.2933247093580752E-3</v>
      </c>
      <c r="C202">
        <f t="shared" si="10"/>
        <v>-4.2933247093580804E-3</v>
      </c>
      <c r="D202">
        <v>0</v>
      </c>
      <c r="T202">
        <f t="shared" si="9"/>
        <v>2.0000000000000013</v>
      </c>
      <c r="U202">
        <f>($P$3*EXP(-$Q$3*T202)*SIN(2*PI()*T202/$R$3)+$S$3)</f>
        <v>2.3764240937496286</v>
      </c>
      <c r="W202">
        <f t="shared" si="11"/>
        <v>2.0000000000000013</v>
      </c>
      <c r="X202">
        <v>0.93915343544928531</v>
      </c>
      <c r="Y202">
        <v>401</v>
      </c>
    </row>
    <row r="203" spans="1:25" x14ac:dyDescent="0.3">
      <c r="T203">
        <f t="shared" si="9"/>
        <v>2.0100000000000011</v>
      </c>
      <c r="U203">
        <f>($P$3*EXP(-$Q$3*T203)*SIN(2*PI()*T203/$R$3)+$S$3)</f>
        <v>2.3099447116843672</v>
      </c>
      <c r="W203">
        <f t="shared" si="11"/>
        <v>2.0100000000000011</v>
      </c>
      <c r="X203">
        <v>0.96618193519531648</v>
      </c>
      <c r="Y203">
        <v>400</v>
      </c>
    </row>
    <row r="204" spans="1:25" x14ac:dyDescent="0.3">
      <c r="T204">
        <f t="shared" si="9"/>
        <v>2.0200000000000009</v>
      </c>
      <c r="U204">
        <f>($P$3*EXP(-$Q$3*T204)*SIN(2*PI()*T204/$R$3)+$S$3)</f>
        <v>2.2398019955467454</v>
      </c>
      <c r="W204">
        <f t="shared" si="11"/>
        <v>2.0200000000000009</v>
      </c>
      <c r="X204">
        <v>0.99166426756264414</v>
      </c>
      <c r="Y204">
        <v>399</v>
      </c>
    </row>
    <row r="205" spans="1:25" x14ac:dyDescent="0.3">
      <c r="T205">
        <f t="shared" si="9"/>
        <v>2.0300000000000007</v>
      </c>
      <c r="U205">
        <f>($P$3*EXP(-$Q$3*T205)*SIN(2*PI()*T205/$R$3)+$S$3)</f>
        <v>2.1661411744762544</v>
      </c>
      <c r="W205">
        <f t="shared" si="11"/>
        <v>2.0300000000000007</v>
      </c>
      <c r="X205">
        <v>1.0155460586447114</v>
      </c>
      <c r="Y205">
        <v>398</v>
      </c>
    </row>
    <row r="206" spans="1:25" x14ac:dyDescent="0.3">
      <c r="T206">
        <f t="shared" si="9"/>
        <v>2.0400000000000005</v>
      </c>
      <c r="U206">
        <f>($P$3*EXP(-$Q$3*T206)*SIN(2*PI()*T206/$R$3)+$S$3)</f>
        <v>2.0891127938779577</v>
      </c>
      <c r="W206">
        <f t="shared" si="11"/>
        <v>2.0400000000000005</v>
      </c>
      <c r="X206">
        <v>1.0377754380886013</v>
      </c>
      <c r="Y206">
        <v>397</v>
      </c>
    </row>
    <row r="207" spans="1:25" x14ac:dyDescent="0.3">
      <c r="T207">
        <f t="shared" si="9"/>
        <v>2.0500000000000003</v>
      </c>
      <c r="U207">
        <f>($P$3*EXP(-$Q$3*T207)*SIN(2*PI()*T207/$R$3)+$S$3)</f>
        <v>2.0088724189529201</v>
      </c>
      <c r="W207">
        <f t="shared" si="11"/>
        <v>2.0500000000000003</v>
      </c>
      <c r="X207">
        <v>1.0583031459013774</v>
      </c>
      <c r="Y207">
        <v>396</v>
      </c>
    </row>
    <row r="208" spans="1:25" x14ac:dyDescent="0.3">
      <c r="T208">
        <f t="shared" si="9"/>
        <v>2.06</v>
      </c>
      <c r="U208">
        <f>($P$3*EXP(-$Q$3*T208)*SIN(2*PI()*T208/$R$3)+$S$3)</f>
        <v>1.9255803311769923</v>
      </c>
      <c r="W208">
        <f t="shared" si="11"/>
        <v>2.06</v>
      </c>
      <c r="X208">
        <v>1.0770826352824119</v>
      </c>
      <c r="Y208">
        <v>395</v>
      </c>
    </row>
    <row r="209" spans="20:25" x14ac:dyDescent="0.3">
      <c r="T209">
        <f t="shared" si="9"/>
        <v>2.0699999999999998</v>
      </c>
      <c r="U209">
        <f>($P$3*EXP(-$Q$3*T209)*SIN(2*PI()*T209/$R$3)+$S$3)</f>
        <v>1.8394012183037989</v>
      </c>
      <c r="W209">
        <f t="shared" si="11"/>
        <v>2.0699999999999998</v>
      </c>
      <c r="X209">
        <v>1.0940701712759062</v>
      </c>
      <c r="Y209">
        <v>394</v>
      </c>
    </row>
    <row r="210" spans="20:25" x14ac:dyDescent="0.3">
      <c r="T210">
        <f t="shared" si="9"/>
        <v>2.0799999999999996</v>
      </c>
      <c r="U210">
        <f>($P$3*EXP(-$Q$3*T210)*SIN(2*PI()*T210/$R$3)+$S$3)</f>
        <v>1.7505038584756549</v>
      </c>
      <c r="W210">
        <f t="shared" si="11"/>
        <v>2.0799999999999996</v>
      </c>
      <c r="X210">
        <v>1.1092249250439663</v>
      </c>
      <c r="Y210">
        <v>393</v>
      </c>
    </row>
    <row r="211" spans="20:25" x14ac:dyDescent="0.3">
      <c r="T211">
        <f t="shared" si="9"/>
        <v>2.0899999999999994</v>
      </c>
      <c r="U211">
        <f>($P$3*EXP(-$Q$3*T211)*SIN(2*PI()*T211/$R$3)+$S$3)</f>
        <v>1.6590607990329966</v>
      </c>
      <c r="W211">
        <f t="shared" si="11"/>
        <v>2.0899999999999994</v>
      </c>
      <c r="X211">
        <v>1.1225090635671482</v>
      </c>
      <c r="Y211">
        <v>392</v>
      </c>
    </row>
    <row r="212" spans="20:25" x14ac:dyDescent="0.3">
      <c r="T212">
        <f t="shared" si="9"/>
        <v>2.0999999999999992</v>
      </c>
      <c r="U212">
        <f>($P$3*EXP(-$Q$3*T212)*SIN(2*PI()*T212/$R$3)+$S$3)</f>
        <v>1.5652480306187171</v>
      </c>
      <c r="W212">
        <f t="shared" si="11"/>
        <v>2.0999999999999992</v>
      </c>
      <c r="X212">
        <v>1.1338878345863106</v>
      </c>
      <c r="Y212">
        <v>391</v>
      </c>
    </row>
    <row r="213" spans="20:25" x14ac:dyDescent="0.3">
      <c r="T213">
        <f t="shared" si="9"/>
        <v>2.109999999999999</v>
      </c>
      <c r="U213">
        <f>($P$3*EXP(-$Q$3*T213)*SIN(2*PI()*T213/$R$3)+$S$3)</f>
        <v>1.4692446571785038</v>
      </c>
      <c r="W213">
        <f t="shared" si="11"/>
        <v>2.109999999999999</v>
      </c>
      <c r="X213">
        <v>1.1433296466069029</v>
      </c>
      <c r="Y213">
        <v>390</v>
      </c>
    </row>
    <row r="214" spans="20:25" x14ac:dyDescent="0.3">
      <c r="T214">
        <f t="shared" si="9"/>
        <v>2.1199999999999988</v>
      </c>
      <c r="U214">
        <f>($P$3*EXP(-$Q$3*T214)*SIN(2*PI()*T214/$R$3)+$S$3)</f>
        <v>1.3712325624618709</v>
      </c>
      <c r="W214">
        <f t="shared" si="11"/>
        <v>2.1199999999999988</v>
      </c>
      <c r="X214">
        <v>1.1508061437944661</v>
      </c>
      <c r="Y214">
        <v>389</v>
      </c>
    </row>
    <row r="215" spans="20:25" x14ac:dyDescent="0.3">
      <c r="T215">
        <f t="shared" si="9"/>
        <v>2.1299999999999986</v>
      </c>
      <c r="U215">
        <f>($P$3*EXP(-$Q$3*T215)*SIN(2*PI()*T215/$R$3)+$S$3)</f>
        <v>1.2713960736311474</v>
      </c>
      <c r="W215">
        <f t="shared" si="11"/>
        <v>2.1299999999999986</v>
      </c>
      <c r="X215">
        <v>1.1562922755981531</v>
      </c>
      <c r="Y215">
        <v>388</v>
      </c>
    </row>
    <row r="216" spans="20:25" x14ac:dyDescent="0.3">
      <c r="T216">
        <f t="shared" si="9"/>
        <v>2.1399999999999983</v>
      </c>
      <c r="U216">
        <f>($P$3*EXP(-$Q$3*T216)*SIN(2*PI()*T216/$R$3)+$S$3)</f>
        <v>1.169921622587101</v>
      </c>
      <c r="W216">
        <f t="shared" si="11"/>
        <v>2.1399999999999983</v>
      </c>
      <c r="X216">
        <v>1.1597663609473954</v>
      </c>
      <c r="Y216">
        <v>387</v>
      </c>
    </row>
    <row r="217" spans="20:25" x14ac:dyDescent="0.3">
      <c r="T217">
        <f t="shared" si="9"/>
        <v>2.1499999999999981</v>
      </c>
      <c r="U217">
        <f>($P$3*EXP(-$Q$3*T217)*SIN(2*PI()*T217/$R$3)+$S$3)</f>
        <v>1.066997405620276</v>
      </c>
      <c r="W217">
        <f t="shared" si="11"/>
        <v>2.1499999999999981</v>
      </c>
      <c r="X217">
        <v>1.1612101468755185</v>
      </c>
      <c r="Y217">
        <v>386</v>
      </c>
    </row>
    <row r="218" spans="20:25" x14ac:dyDescent="0.3">
      <c r="T218">
        <f t="shared" si="9"/>
        <v>2.1599999999999979</v>
      </c>
      <c r="U218">
        <f>($P$3*EXP(-$Q$3*T218)*SIN(2*PI()*T218/$R$3)+$S$3)</f>
        <v>0.96281304199641138</v>
      </c>
      <c r="W218">
        <f t="shared" si="11"/>
        <v>2.1599999999999979</v>
      </c>
      <c r="X218">
        <v>1.160608861433079</v>
      </c>
      <c r="Y218">
        <v>385</v>
      </c>
    </row>
    <row r="219" spans="20:25" x14ac:dyDescent="0.3">
      <c r="T219">
        <f t="shared" si="9"/>
        <v>2.1699999999999977</v>
      </c>
      <c r="U219">
        <f>($P$3*EXP(-$Q$3*T219)*SIN(2*PI()*T219/$R$3)+$S$3)</f>
        <v>0.85755923208253548</v>
      </c>
      <c r="W219">
        <f t="shared" si="11"/>
        <v>2.1699999999999977</v>
      </c>
      <c r="X219">
        <v>1.1579512607629803</v>
      </c>
      <c r="Y219">
        <v>384</v>
      </c>
    </row>
    <row r="220" spans="20:25" x14ac:dyDescent="0.3">
      <c r="T220">
        <f t="shared" si="9"/>
        <v>2.1799999999999975</v>
      </c>
      <c r="U220">
        <f>($P$3*EXP(-$Q$3*T220)*SIN(2*PI()*T220/$R$3)+$S$3)</f>
        <v>0.75142741561752902</v>
      </c>
      <c r="W220">
        <f t="shared" si="11"/>
        <v>2.1799999999999975</v>
      </c>
      <c r="X220">
        <v>1.1532296702189717</v>
      </c>
      <c r="Y220">
        <v>383</v>
      </c>
    </row>
    <row r="221" spans="20:25" x14ac:dyDescent="0.3">
      <c r="T221">
        <f t="shared" si="9"/>
        <v>2.1899999999999973</v>
      </c>
      <c r="U221">
        <f>($P$3*EXP(-$Q$3*T221)*SIN(2*PI()*T221/$R$3)+$S$3)</f>
        <v>0.64460943072706678</v>
      </c>
      <c r="W221">
        <f t="shared" si="11"/>
        <v>2.1899999999999973</v>
      </c>
      <c r="X221">
        <v>1.1464400194189532</v>
      </c>
      <c r="Y221">
        <v>382</v>
      </c>
    </row>
    <row r="222" spans="20:25" x14ac:dyDescent="0.3">
      <c r="T222">
        <f t="shared" si="9"/>
        <v>2.1999999999999971</v>
      </c>
      <c r="U222">
        <f>($P$3*EXP(-$Q$3*T222)*SIN(2*PI()*T222/$R$3)+$S$3)</f>
        <v>0.53729717427795376</v>
      </c>
      <c r="W222">
        <f t="shared" si="11"/>
        <v>2.1999999999999971</v>
      </c>
      <c r="X222">
        <v>1.1375818711346006</v>
      </c>
      <c r="Y222">
        <v>381</v>
      </c>
    </row>
    <row r="223" spans="20:25" x14ac:dyDescent="0.3">
      <c r="T223">
        <f t="shared" si="9"/>
        <v>2.2099999999999969</v>
      </c>
      <c r="U223">
        <f>($P$3*EXP(-$Q$3*T223)*SIN(2*PI()*T223/$R$3)+$S$3)</f>
        <v>0.42968226416096894</v>
      </c>
      <c r="W223">
        <f t="shared" si="11"/>
        <v>2.2099999999999969</v>
      </c>
      <c r="X223">
        <v>1.1266584439291185</v>
      </c>
      <c r="Y223">
        <v>380</v>
      </c>
    </row>
    <row r="224" spans="20:25" x14ac:dyDescent="0.3">
      <c r="T224">
        <f t="shared" si="9"/>
        <v>2.2199999999999966</v>
      </c>
      <c r="U224">
        <f>($P$3*EXP(-$Q$3*T224)*SIN(2*PI()*T224/$R$3)+$S$3)</f>
        <v>0.32195570408439661</v>
      </c>
      <c r="W224">
        <f t="shared" si="11"/>
        <v>2.2199999999999966</v>
      </c>
      <c r="X224">
        <v>1.1136766284654447</v>
      </c>
      <c r="Y224">
        <v>379</v>
      </c>
    </row>
    <row r="225" spans="20:25" x14ac:dyDescent="0.3">
      <c r="T225">
        <f t="shared" si="9"/>
        <v>2.2299999999999964</v>
      </c>
      <c r="U225">
        <f>($P$3*EXP(-$Q$3*T225)*SIN(2*PI()*T225/$R$3)+$S$3)</f>
        <v>0.2143075514525449</v>
      </c>
      <c r="W225">
        <f t="shared" si="11"/>
        <v>2.2299999999999964</v>
      </c>
      <c r="X225">
        <v>1.0986469974180015</v>
      </c>
      <c r="Y225">
        <v>378</v>
      </c>
    </row>
    <row r="226" spans="20:25" x14ac:dyDescent="0.3">
      <c r="T226">
        <f t="shared" si="9"/>
        <v>2.2399999999999962</v>
      </c>
      <c r="U226">
        <f>($P$3*EXP(-$Q$3*T226)*SIN(2*PI()*T226/$R$3)+$S$3)</f>
        <v>0.10692658889468942</v>
      </c>
      <c r="W226">
        <f t="shared" si="11"/>
        <v>2.2399999999999962</v>
      </c>
      <c r="X226">
        <v>1.0815838089319314</v>
      </c>
      <c r="Y226">
        <v>377</v>
      </c>
    </row>
    <row r="227" spans="20:25" x14ac:dyDescent="0.3">
      <c r="T227">
        <f t="shared" si="9"/>
        <v>2.249999999999996</v>
      </c>
      <c r="U227">
        <f>($P$3*EXP(-$Q$3*T227)*SIN(2*PI()*T227/$R$3)+$S$3)</f>
        <v>4.1635645356205934E-14</v>
      </c>
      <c r="W227">
        <f t="shared" si="11"/>
        <v>2.249999999999996</v>
      </c>
      <c r="X227">
        <v>1.0625050035849122</v>
      </c>
      <c r="Y227">
        <v>376</v>
      </c>
    </row>
    <row r="228" spans="20:25" x14ac:dyDescent="0.3">
      <c r="T228">
        <f t="shared" si="9"/>
        <v>2.2599999999999958</v>
      </c>
      <c r="U228">
        <f>($P$3*EXP(-$Q$3*T228)*SIN(2*PI()*T228/$R$3)+$S$3)</f>
        <v>-0.10628695019623936</v>
      </c>
      <c r="W228">
        <f t="shared" si="11"/>
        <v>2.2599999999999958</v>
      </c>
      <c r="X228">
        <v>1.0414321948177701</v>
      </c>
      <c r="Y228">
        <v>375</v>
      </c>
    </row>
    <row r="229" spans="20:25" x14ac:dyDescent="0.3">
      <c r="T229">
        <f t="shared" si="9"/>
        <v>2.2699999999999956</v>
      </c>
      <c r="U229">
        <f>($P$3*EXP(-$Q$3*T229)*SIN(2*PI()*T229/$R$3)+$S$3)</f>
        <v>-0.21175122944287991</v>
      </c>
      <c r="W229">
        <f t="shared" si="11"/>
        <v>2.2699999999999956</v>
      </c>
      <c r="X229">
        <v>1.0183906528115705</v>
      </c>
      <c r="Y229">
        <v>374</v>
      </c>
    </row>
    <row r="230" spans="20:25" x14ac:dyDescent="0.3">
      <c r="T230">
        <f t="shared" si="9"/>
        <v>2.2799999999999954</v>
      </c>
      <c r="U230">
        <f>($P$3*EXP(-$Q$3*T230)*SIN(2*PI()*T230/$R$3)+$S$3)</f>
        <v>-0.31621234669708825</v>
      </c>
      <c r="W230">
        <f t="shared" si="11"/>
        <v>2.2799999999999954</v>
      </c>
      <c r="X230">
        <v>0.99340928180020249</v>
      </c>
      <c r="Y230">
        <v>373</v>
      </c>
    </row>
    <row r="231" spans="20:25" x14ac:dyDescent="0.3">
      <c r="T231">
        <f t="shared" ref="T231:T294" si="12">T230+0.01</f>
        <v>2.2899999999999952</v>
      </c>
      <c r="U231">
        <f>($P$3*EXP(-$Q$3*T231)*SIN(2*PI()*T231/$R$3)+$S$3)</f>
        <v>-0.41949265423669624</v>
      </c>
      <c r="W231">
        <f t="shared" si="11"/>
        <v>2.2899999999999952</v>
      </c>
      <c r="X231">
        <v>0.96652059081912389</v>
      </c>
      <c r="Y231">
        <v>372</v>
      </c>
    </row>
    <row r="232" spans="20:25" x14ac:dyDescent="0.3">
      <c r="T232">
        <f t="shared" si="12"/>
        <v>2.2999999999999949</v>
      </c>
      <c r="U232">
        <f>($P$3*EXP(-$Q$3*T232)*SIN(2*PI()*T232/$R$3)+$S$3)</f>
        <v>-0.5214176429661902</v>
      </c>
      <c r="W232">
        <f t="shared" si="11"/>
        <v>2.2999999999999949</v>
      </c>
      <c r="X232">
        <v>0.93776065790248642</v>
      </c>
      <c r="Y232">
        <v>371</v>
      </c>
    </row>
    <row r="233" spans="20:25" x14ac:dyDescent="0.3">
      <c r="T233">
        <f t="shared" si="12"/>
        <v>2.3099999999999947</v>
      </c>
      <c r="U233">
        <f>($P$3*EXP(-$Q$3*T233)*SIN(2*PI()*T233/$R$3)+$S$3)</f>
        <v>-0.62181623043846779</v>
      </c>
      <c r="W233">
        <f t="shared" si="11"/>
        <v>2.3099999999999947</v>
      </c>
      <c r="X233">
        <v>0.90716908775251925</v>
      </c>
      <c r="Y233">
        <v>370</v>
      </c>
    </row>
    <row r="234" spans="20:25" x14ac:dyDescent="0.3">
      <c r="T234">
        <f t="shared" si="12"/>
        <v>2.3199999999999945</v>
      </c>
      <c r="U234">
        <f>($P$3*EXP(-$Q$3*T234)*SIN(2*PI()*T234/$R$3)+$S$3)</f>
        <v>-0.72052104112924775</v>
      </c>
      <c r="W234">
        <f t="shared" si="11"/>
        <v>2.3199999999999945</v>
      </c>
      <c r="X234">
        <v>0.87478896291676578</v>
      </c>
      <c r="Y234">
        <v>369</v>
      </c>
    </row>
    <row r="235" spans="20:25" x14ac:dyDescent="0.3">
      <c r="T235">
        <f t="shared" si="12"/>
        <v>2.3299999999999943</v>
      </c>
      <c r="U235">
        <f>($P$3*EXP(-$Q$3*T235)*SIN(2*PI()*T235/$R$3)+$S$3)</f>
        <v>-0.81736867851802375</v>
      </c>
      <c r="W235">
        <f t="shared" si="11"/>
        <v>2.3299999999999943</v>
      </c>
      <c r="X235">
        <v>0.84066678852046806</v>
      </c>
      <c r="Y235">
        <v>368</v>
      </c>
    </row>
    <row r="236" spans="20:25" x14ac:dyDescent="0.3">
      <c r="T236">
        <f t="shared" si="12"/>
        <v>2.3399999999999941</v>
      </c>
      <c r="U236">
        <f>($P$3*EXP(-$Q$3*T236)*SIN(2*PI()*T236/$R$3)+$S$3)</f>
        <v>-0.91219998854598616</v>
      </c>
      <c r="W236">
        <f t="shared" si="11"/>
        <v>2.3399999999999941</v>
      </c>
      <c r="X236">
        <v>0.80485243061304534</v>
      </c>
      <c r="Y236">
        <v>367</v>
      </c>
    </row>
    <row r="237" spans="20:25" x14ac:dyDescent="0.3">
      <c r="T237">
        <f t="shared" si="12"/>
        <v>2.3499999999999939</v>
      </c>
      <c r="U237">
        <f>($P$3*EXP(-$Q$3*T237)*SIN(2*PI()*T237/$R$3)+$S$3)</f>
        <v>-1.0048603140395063</v>
      </c>
      <c r="W237">
        <f t="shared" si="11"/>
        <v>2.3499999999999939</v>
      </c>
      <c r="X237">
        <v>0.76739904819927618</v>
      </c>
      <c r="Y237">
        <v>366</v>
      </c>
    </row>
    <row r="238" spans="20:25" x14ac:dyDescent="0.3">
      <c r="T238">
        <f t="shared" si="12"/>
        <v>2.3599999999999937</v>
      </c>
      <c r="U238">
        <f>($P$3*EXP(-$Q$3*T238)*SIN(2*PI()*T238/$R$3)+$S$3)</f>
        <v>-1.0951997397058413</v>
      </c>
      <c r="W238">
        <f t="shared" si="11"/>
        <v>2.3599999999999937</v>
      </c>
      <c r="X238">
        <v>0.72836301903738931</v>
      </c>
      <c r="Y238">
        <v>365</v>
      </c>
    </row>
    <row r="239" spans="20:25" x14ac:dyDescent="0.3">
      <c r="T239">
        <f t="shared" si="12"/>
        <v>2.3699999999999934</v>
      </c>
      <c r="U239">
        <f>($P$3*EXP(-$Q$3*T239)*SIN(2*PI()*T239/$R$3)+$S$3)</f>
        <v>-1.1830733273267688</v>
      </c>
      <c r="W239">
        <f t="shared" si="11"/>
        <v>2.3699999999999934</v>
      </c>
      <c r="X239">
        <v>0.68780385929781251</v>
      </c>
      <c r="Y239">
        <v>364</v>
      </c>
    </row>
    <row r="240" spans="20:25" x14ac:dyDescent="0.3">
      <c r="T240">
        <f t="shared" si="12"/>
        <v>2.3799999999999932</v>
      </c>
      <c r="U240">
        <f>($P$3*EXP(-$Q$3*T240)*SIN(2*PI()*T240/$R$3)+$S$3)</f>
        <v>-1.2683413407953021</v>
      </c>
      <c r="W240">
        <f t="shared" si="11"/>
        <v>2.3799999999999932</v>
      </c>
      <c r="X240">
        <v>0.64578413718771066</v>
      </c>
      <c r="Y240">
        <v>363</v>
      </c>
    </row>
    <row r="241" spans="20:25" x14ac:dyDescent="0.3">
      <c r="T241">
        <f t="shared" si="12"/>
        <v>2.389999999999993</v>
      </c>
      <c r="U241">
        <f>($P$3*EXP(-$Q$3*T241)*SIN(2*PI()*T241/$R$3)+$S$3)</f>
        <v>-1.3508694606606149</v>
      </c>
      <c r="W241">
        <f t="shared" si="11"/>
        <v>2.389999999999993</v>
      </c>
      <c r="X241">
        <v>0.60236938065775136</v>
      </c>
      <c r="Y241">
        <v>362</v>
      </c>
    </row>
    <row r="242" spans="20:25" x14ac:dyDescent="0.3">
      <c r="T242">
        <f t="shared" si="12"/>
        <v>2.3999999999999928</v>
      </c>
      <c r="U242">
        <f>($P$3*EXP(-$Q$3*T242)*SIN(2*PI()*T242/$R$3)+$S$3)</f>
        <v>-1.4305289878667546</v>
      </c>
      <c r="W242">
        <f t="shared" si="11"/>
        <v>2.3999999999999928</v>
      </c>
      <c r="X242">
        <v>0.55762797931873165</v>
      </c>
      <c r="Y242">
        <v>361</v>
      </c>
    </row>
    <row r="243" spans="20:25" x14ac:dyDescent="0.3">
      <c r="T243">
        <f t="shared" si="12"/>
        <v>2.4099999999999926</v>
      </c>
      <c r="U243">
        <f>($P$3*EXP(-$Q$3*T243)*SIN(2*PI()*T243/$R$3)+$S$3)</f>
        <v>-1.5071970363916101</v>
      </c>
      <c r="W243">
        <f t="shared" si="11"/>
        <v>2.4099999999999926</v>
      </c>
      <c r="X243">
        <v>0.51163108070671104</v>
      </c>
      <c r="Y243">
        <v>360</v>
      </c>
    </row>
    <row r="244" spans="20:25" x14ac:dyDescent="0.3">
      <c r="T244">
        <f t="shared" si="12"/>
        <v>2.4199999999999924</v>
      </c>
      <c r="U244">
        <f>($P$3*EXP(-$Q$3*T244)*SIN(2*PI()*T244/$R$3)+$S$3)</f>
        <v>-1.5807567145138504</v>
      </c>
      <c r="W244">
        <f t="shared" si="11"/>
        <v>2.4199999999999924</v>
      </c>
      <c r="X244">
        <v>0.46445248104609232</v>
      </c>
      <c r="Y244">
        <v>359</v>
      </c>
    </row>
    <row r="245" spans="20:25" x14ac:dyDescent="0.3">
      <c r="T245">
        <f t="shared" si="12"/>
        <v>2.4299999999999922</v>
      </c>
      <c r="U245">
        <f>($P$3*EXP(-$Q$3*T245)*SIN(2*PI()*T245/$R$3)+$S$3)</f>
        <v>-1.6510972944571958</v>
      </c>
      <c r="W245">
        <f t="shared" si="11"/>
        <v>2.4299999999999922</v>
      </c>
      <c r="X245">
        <v>0.41616851067072735</v>
      </c>
      <c r="Y245">
        <v>358</v>
      </c>
    </row>
    <row r="246" spans="20:25" x14ac:dyDescent="0.3">
      <c r="T246">
        <f t="shared" si="12"/>
        <v>2.439999999999992</v>
      </c>
      <c r="U246">
        <f>($P$3*EXP(-$Q$3*T246)*SIN(2*PI()*T246/$R$3)+$S$3)</f>
        <v>-1.7181143701833002</v>
      </c>
      <c r="W246">
        <f t="shared" si="11"/>
        <v>2.439999999999992</v>
      </c>
      <c r="X246">
        <v>0.36685791427355763</v>
      </c>
      <c r="Y246">
        <v>357</v>
      </c>
    </row>
    <row r="247" spans="20:25" x14ac:dyDescent="0.3">
      <c r="T247">
        <f t="shared" si="12"/>
        <v>2.4499999999999917</v>
      </c>
      <c r="U247">
        <f>($P$3*EXP(-$Q$3*T247)*SIN(2*PI()*T247/$R$3)+$S$3)</f>
        <v>-1.7817100031267261</v>
      </c>
      <c r="W247">
        <f t="shared" si="11"/>
        <v>2.4499999999999917</v>
      </c>
      <c r="X247">
        <v>0.31660172616548576</v>
      </c>
      <c r="Y247">
        <v>356</v>
      </c>
    </row>
    <row r="248" spans="20:25" x14ac:dyDescent="0.3">
      <c r="T248">
        <f t="shared" si="12"/>
        <v>2.4599999999999915</v>
      </c>
      <c r="U248">
        <f>($P$3*EXP(-$Q$3*T248)*SIN(2*PI()*T248/$R$3)+$S$3)</f>
        <v>-1.8417928556879426</v>
      </c>
      <c r="W248">
        <f t="shared" si="11"/>
        <v>2.4599999999999915</v>
      </c>
      <c r="X248">
        <v>0.26548314073404755</v>
      </c>
      <c r="Y248">
        <v>355</v>
      </c>
    </row>
    <row r="249" spans="20:25" x14ac:dyDescent="0.3">
      <c r="T249">
        <f t="shared" si="12"/>
        <v>2.4699999999999913</v>
      </c>
      <c r="U249">
        <f>($P$3*EXP(-$Q$3*T249)*SIN(2*PI()*T249/$R$3)+$S$3)</f>
        <v>-1.8982783123228786</v>
      </c>
      <c r="W249">
        <f t="shared" si="11"/>
        <v>2.4699999999999913</v>
      </c>
      <c r="X249">
        <v>0.21358737830206556</v>
      </c>
      <c r="Y249">
        <v>354</v>
      </c>
    </row>
    <row r="250" spans="20:25" x14ac:dyDescent="0.3">
      <c r="T250">
        <f t="shared" si="12"/>
        <v>2.4799999999999911</v>
      </c>
      <c r="U250">
        <f>($P$3*EXP(-$Q$3*T250)*SIN(2*PI()*T250/$R$3)+$S$3)</f>
        <v>-1.9510885880903599</v>
      </c>
      <c r="W250">
        <f t="shared" si="11"/>
        <v>2.4799999999999911</v>
      </c>
      <c r="X250">
        <v>0.16100154659595339</v>
      </c>
      <c r="Y250">
        <v>353</v>
      </c>
    </row>
    <row r="251" spans="20:25" x14ac:dyDescent="0.3">
      <c r="T251">
        <f t="shared" si="12"/>
        <v>2.4899999999999909</v>
      </c>
      <c r="U251">
        <f>($P$3*EXP(-$Q$3*T251)*SIN(2*PI()*T251/$R$3)+$S$3)</f>
        <v>-2.0001528245416087</v>
      </c>
      <c r="W251">
        <f t="shared" si="11"/>
        <v>2.4899999999999909</v>
      </c>
      <c r="X251">
        <v>0.10781449804212796</v>
      </c>
      <c r="Y251">
        <v>352</v>
      </c>
    </row>
    <row r="252" spans="20:25" x14ac:dyDescent="0.3">
      <c r="T252">
        <f t="shared" si="12"/>
        <v>2.4999999999999907</v>
      </c>
      <c r="U252">
        <f>($P$3*EXP(-$Q$3*T252)*SIN(2*PI()*T252/$R$3)+$S$3)</f>
        <v>-2.0454071728589627</v>
      </c>
      <c r="W252">
        <f t="shared" si="11"/>
        <v>2.4999999999999907</v>
      </c>
      <c r="X252">
        <v>5.4116683118955788E-2</v>
      </c>
      <c r="Y252">
        <v>351</v>
      </c>
    </row>
    <row r="253" spans="20:25" x14ac:dyDescent="0.3">
      <c r="T253">
        <f t="shared" si="12"/>
        <v>2.5099999999999905</v>
      </c>
      <c r="U253">
        <f>($P$3*EXP(-$Q$3*T253)*SIN(2*PI()*T253/$R$3)+$S$3)</f>
        <v>-2.086794864173914</v>
      </c>
      <c r="W253">
        <f t="shared" si="11"/>
        <v>2.5099999999999905</v>
      </c>
      <c r="X253">
        <v>-2.8185978154254769E-13</v>
      </c>
      <c r="Y253">
        <v>350</v>
      </c>
    </row>
    <row r="254" spans="20:25" x14ac:dyDescent="0.3">
      <c r="T254">
        <f t="shared" si="12"/>
        <v>2.5199999999999902</v>
      </c>
      <c r="U254">
        <f>($P$3*EXP(-$Q$3*T254)*SIN(2*PI()*T254/$R$3)+$S$3)</f>
        <v>-2.1242662670175547</v>
      </c>
      <c r="W254">
        <f t="shared" si="11"/>
        <v>2.5199999999999902</v>
      </c>
      <c r="X254">
        <v>-5.4442359269652359E-2</v>
      </c>
      <c r="Y254">
        <v>349</v>
      </c>
    </row>
    <row r="255" spans="20:25" x14ac:dyDescent="0.3">
      <c r="T255">
        <f t="shared" si="12"/>
        <v>2.52999999999999</v>
      </c>
      <c r="U255">
        <f>($P$3*EXP(-$Q$3*T255)*SIN(2*PI()*T255/$R$3)+$S$3)</f>
        <v>-2.1577789318793625</v>
      </c>
      <c r="W255">
        <f t="shared" si="11"/>
        <v>2.52999999999999</v>
      </c>
      <c r="X255">
        <v>-0.10911606580700881</v>
      </c>
      <c r="Y255">
        <v>348</v>
      </c>
    </row>
    <row r="256" spans="20:25" x14ac:dyDescent="0.3">
      <c r="T256">
        <f t="shared" si="12"/>
        <v>2.5399999999999898</v>
      </c>
      <c r="U256">
        <f>($P$3*EXP(-$Q$3*T256)*SIN(2*PI()*T256/$R$3)+$S$3)</f>
        <v>-2.1872976228731855</v>
      </c>
      <c r="W256">
        <f t="shared" si="11"/>
        <v>2.5399999999999898</v>
      </c>
      <c r="X256">
        <v>-0.16392581388605562</v>
      </c>
      <c r="Y256">
        <v>347</v>
      </c>
    </row>
    <row r="257" spans="20:25" x14ac:dyDescent="0.3">
      <c r="T257">
        <f t="shared" si="12"/>
        <v>2.5499999999999896</v>
      </c>
      <c r="U257">
        <f>($P$3*EXP(-$Q$3*T257)*SIN(2*PI()*T257/$R$3)+$S$3)</f>
        <v>-2.2127943365317746</v>
      </c>
      <c r="W257">
        <f t="shared" si="11"/>
        <v>2.5499999999999896</v>
      </c>
      <c r="X257">
        <v>-0.21877548361900956</v>
      </c>
      <c r="Y257">
        <v>346</v>
      </c>
    </row>
    <row r="258" spans="20:25" x14ac:dyDescent="0.3">
      <c r="T258">
        <f t="shared" si="12"/>
        <v>2.5599999999999894</v>
      </c>
      <c r="U258">
        <f>($P$3*EXP(-$Q$3*T258)*SIN(2*PI()*T258/$R$3)+$S$3)</f>
        <v>-2.2342483077739304</v>
      </c>
      <c r="W258">
        <f t="shared" si="11"/>
        <v>2.5599999999999894</v>
      </c>
      <c r="X258">
        <v>-0.27356830605817389</v>
      </c>
      <c r="Y258">
        <v>345</v>
      </c>
    </row>
    <row r="259" spans="20:25" x14ac:dyDescent="0.3">
      <c r="T259">
        <f t="shared" si="12"/>
        <v>2.5699999999999892</v>
      </c>
      <c r="U259">
        <f>($P$3*EXP(-$Q$3*T259)*SIN(2*PI()*T259/$R$3)+$S$3)</f>
        <v>-2.2516460031104089</v>
      </c>
      <c r="W259">
        <f t="shared" si="11"/>
        <v>2.5699999999999892</v>
      </c>
      <c r="X259">
        <v>-0.32820703043912031</v>
      </c>
      <c r="Y259">
        <v>344</v>
      </c>
    </row>
    <row r="260" spans="20:25" x14ac:dyDescent="0.3">
      <c r="T260">
        <f t="shared" si="12"/>
        <v>2.579999999999989</v>
      </c>
      <c r="U260">
        <f>($P$3*EXP(-$Q$3*T260)*SIN(2*PI()*T260/$R$3)+$S$3)</f>
        <v>-2.2649811011769461</v>
      </c>
      <c r="W260">
        <f t="shared" ref="W260:W323" si="13">W259+0.01</f>
        <v>2.579999999999989</v>
      </c>
      <c r="X260">
        <v>-0.38259409328246041</v>
      </c>
      <c r="Y260">
        <v>343</v>
      </c>
    </row>
    <row r="261" spans="20:25" x14ac:dyDescent="0.3">
      <c r="T261">
        <f t="shared" si="12"/>
        <v>2.5899999999999888</v>
      </c>
      <c r="U261">
        <f>($P$3*EXP(-$Q$3*T261)*SIN(2*PI()*T261/$R$3)+$S$3)</f>
        <v>-2.2742544607043884</v>
      </c>
      <c r="W261">
        <f t="shared" si="13"/>
        <v>2.5899999999999888</v>
      </c>
      <c r="X261">
        <v>-0.43663178906636063</v>
      </c>
      <c r="Y261">
        <v>342</v>
      </c>
    </row>
    <row r="262" spans="20:25" x14ac:dyDescent="0.3">
      <c r="T262">
        <f t="shared" si="12"/>
        <v>2.5999999999999885</v>
      </c>
      <c r="U262">
        <f>($P$3*EXP(-$Q$3*T262)*SIN(2*PI()*T262/$R$3)+$S$3)</f>
        <v>-2.2794740760574017</v>
      </c>
      <c r="W262">
        <f t="shared" si="13"/>
        <v>2.5999999999999885</v>
      </c>
      <c r="X262">
        <v>-0.49022244217741262</v>
      </c>
      <c r="Y262">
        <v>341</v>
      </c>
    </row>
    <row r="263" spans="20:25" x14ac:dyDescent="0.3">
      <c r="T263">
        <f t="shared" si="12"/>
        <v>2.6099999999999883</v>
      </c>
      <c r="U263">
        <f>($P$3*EXP(-$Q$3*T263)*SIN(2*PI()*T263/$R$3)+$S$3)</f>
        <v>-2.2806550204943039</v>
      </c>
      <c r="W263">
        <f t="shared" si="13"/>
        <v>2.6099999999999883</v>
      </c>
      <c r="X263">
        <v>-0.54326857984340982</v>
      </c>
      <c r="Y263">
        <v>340</v>
      </c>
    </row>
    <row r="264" spans="20:25" x14ac:dyDescent="0.3">
      <c r="T264">
        <f t="shared" si="12"/>
        <v>2.6199999999999881</v>
      </c>
      <c r="U264">
        <f>($P$3*EXP(-$Q$3*T264)*SIN(2*PI()*T264/$R$3)+$S$3)</f>
        <v>-2.2778193773212099</v>
      </c>
      <c r="W264">
        <f t="shared" si="13"/>
        <v>2.6199999999999881</v>
      </c>
      <c r="X264">
        <v>-0.59567310574807197</v>
      </c>
      <c r="Y264">
        <v>339</v>
      </c>
    </row>
    <row r="265" spans="20:25" x14ac:dyDescent="0.3">
      <c r="T265">
        <f t="shared" si="12"/>
        <v>2.6299999999999879</v>
      </c>
      <c r="U265">
        <f>($P$3*EXP(-$Q$3*T265)*SIN(2*PI()*T265/$R$3)+$S$3)</f>
        <v>-2.2709961591339454</v>
      </c>
      <c r="W265">
        <f t="shared" si="13"/>
        <v>2.6299999999999879</v>
      </c>
      <c r="X265">
        <v>-0.6473394740247731</v>
      </c>
      <c r="Y265">
        <v>338</v>
      </c>
    </row>
    <row r="266" spans="20:25" x14ac:dyDescent="0.3">
      <c r="T266">
        <f t="shared" si="12"/>
        <v>2.6399999999999877</v>
      </c>
      <c r="U266">
        <f>($P$3*EXP(-$Q$3*T266)*SIN(2*PI()*T266/$R$3)+$S$3)</f>
        <v>-2.2602212153609686</v>
      </c>
      <c r="W266">
        <f t="shared" si="13"/>
        <v>2.6399999999999877</v>
      </c>
      <c r="X266">
        <v>-0.69817186332384362</v>
      </c>
      <c r="Y266">
        <v>337</v>
      </c>
    </row>
    <row r="267" spans="20:25" x14ac:dyDescent="0.3">
      <c r="T267">
        <f t="shared" si="12"/>
        <v>2.6499999999999875</v>
      </c>
      <c r="U267">
        <f>($P$3*EXP(-$Q$3*T267)*SIN(2*PI()*T267/$R$3)+$S$3)</f>
        <v>-2.2455371283398304</v>
      </c>
      <c r="W267">
        <f t="shared" si="13"/>
        <v>2.6499999999999875</v>
      </c>
      <c r="X267">
        <v>-0.74807535064600561</v>
      </c>
      <c r="Y267">
        <v>336</v>
      </c>
    </row>
    <row r="268" spans="20:25" x14ac:dyDescent="0.3">
      <c r="T268">
        <f t="shared" si="12"/>
        <v>2.6599999999999873</v>
      </c>
      <c r="U268">
        <f>($P$3*EXP(-$Q$3*T268)*SIN(2*PI()*T268/$R$3)+$S$3)</f>
        <v>-2.2269930981784603</v>
      </c>
      <c r="W268">
        <f t="shared" si="13"/>
        <v>2.6599999999999873</v>
      </c>
      <c r="X268">
        <v>-0.79695608463307166</v>
      </c>
      <c r="Y268">
        <v>335</v>
      </c>
    </row>
    <row r="269" spans="20:25" x14ac:dyDescent="0.3">
      <c r="T269">
        <f t="shared" si="12"/>
        <v>2.6699999999999871</v>
      </c>
      <c r="U269">
        <f>($P$3*EXP(-$Q$3*T269)*SIN(2*PI()*T269/$R$3)+$S$3)</f>
        <v>-2.2046448166707959</v>
      </c>
      <c r="W269">
        <f t="shared" si="13"/>
        <v>2.6699999999999871</v>
      </c>
      <c r="X269">
        <v>-0.84472145800616738</v>
      </c>
      <c r="Y269">
        <v>334</v>
      </c>
    </row>
    <row r="270" spans="20:25" x14ac:dyDescent="0.3">
      <c r="T270">
        <f t="shared" si="12"/>
        <v>2.6799999999999868</v>
      </c>
      <c r="U270">
        <f>($P$3*EXP(-$Q$3*T270)*SIN(2*PI()*T270/$R$3)+$S$3)</f>
        <v>-2.1785543305538977</v>
      </c>
      <c r="W270">
        <f t="shared" si="13"/>
        <v>2.6799999999999868</v>
      </c>
      <c r="X270">
        <v>-0.89128027884138705</v>
      </c>
      <c r="Y270">
        <v>333</v>
      </c>
    </row>
    <row r="271" spans="20:25" x14ac:dyDescent="0.3">
      <c r="T271">
        <f t="shared" si="12"/>
        <v>2.6899999999999866</v>
      </c>
      <c r="U271">
        <f>($P$3*EXP(-$Q$3*T271)*SIN(2*PI()*T271/$R$3)+$S$3)</f>
        <v>-2.1487898944107093</v>
      </c>
      <c r="W271">
        <f t="shared" si="13"/>
        <v>2.6899999999999866</v>
      </c>
      <c r="X271">
        <v>-0.93654294037293784</v>
      </c>
      <c r="Y271">
        <v>332</v>
      </c>
    </row>
    <row r="272" spans="20:25" x14ac:dyDescent="0.3">
      <c r="T272">
        <f t="shared" si="12"/>
        <v>2.6999999999999864</v>
      </c>
      <c r="U272">
        <f>($P$3*EXP(-$Q$3*T272)*SIN(2*PI()*T272/$R$3)+$S$3)</f>
        <v>-2.1154258135389936</v>
      </c>
      <c r="W272">
        <f t="shared" si="13"/>
        <v>2.6999999999999864</v>
      </c>
      <c r="X272">
        <v>-0.98042158901458187</v>
      </c>
      <c r="Y272">
        <v>331</v>
      </c>
    </row>
    <row r="273" spans="20:25" x14ac:dyDescent="0.3">
      <c r="T273">
        <f t="shared" si="12"/>
        <v>2.7099999999999862</v>
      </c>
      <c r="U273">
        <f>($P$3*EXP(-$Q$3*T273)*SIN(2*PI()*T273/$R$3)+$S$3)</f>
        <v>-2.078542277122748</v>
      </c>
      <c r="W273">
        <f t="shared" si="13"/>
        <v>2.7099999999999862</v>
      </c>
      <c r="X273">
        <v>-1.0228302902914976</v>
      </c>
      <c r="Y273">
        <v>330</v>
      </c>
    </row>
    <row r="274" spans="20:25" x14ac:dyDescent="0.3">
      <c r="T274">
        <f t="shared" si="12"/>
        <v>2.719999999999986</v>
      </c>
      <c r="U274">
        <f>($P$3*EXP(-$Q$3*T274)*SIN(2*PI()*T274/$R$3)+$S$3)</f>
        <v>-2.0382251820573685</v>
      </c>
      <c r="W274">
        <f t="shared" si="13"/>
        <v>2.719999999999986</v>
      </c>
      <c r="X274">
        <v>-1.063685192376528</v>
      </c>
      <c r="Y274">
        <v>329</v>
      </c>
    </row>
    <row r="275" spans="20:25" x14ac:dyDescent="0.3">
      <c r="T275">
        <f t="shared" si="12"/>
        <v>2.7299999999999858</v>
      </c>
      <c r="U275">
        <f>($P$3*EXP(-$Q$3*T275)*SIN(2*PI()*T275/$R$3)+$S$3)</f>
        <v>-1.9945659477942073</v>
      </c>
      <c r="W275">
        <f t="shared" si="13"/>
        <v>2.7299999999999858</v>
      </c>
      <c r="X275">
        <v>-1.1029046869271435</v>
      </c>
      <c r="Y275">
        <v>328</v>
      </c>
    </row>
    <row r="276" spans="20:25" x14ac:dyDescent="0.3">
      <c r="T276">
        <f t="shared" si="12"/>
        <v>2.7399999999999856</v>
      </c>
      <c r="U276">
        <f>($P$3*EXP(-$Q$3*T276)*SIN(2*PI()*T276/$R$3)+$S$3)</f>
        <v>-1.9476613225837887</v>
      </c>
      <c r="W276">
        <f t="shared" si="13"/>
        <v>2.7399999999999856</v>
      </c>
      <c r="X276">
        <v>-1.1404095669224024</v>
      </c>
      <c r="Y276">
        <v>327</v>
      </c>
    </row>
    <row r="277" spans="20:25" x14ac:dyDescent="0.3">
      <c r="T277">
        <f t="shared" si="12"/>
        <v>2.7499999999999853</v>
      </c>
      <c r="U277">
        <f>($P$3*EXP(-$Q$3*T277)*SIN(2*PI()*T277/$R$3)+$S$3)</f>
        <v>-1.8976131815097164</v>
      </c>
      <c r="W277">
        <f t="shared" si="13"/>
        <v>2.7499999999999853</v>
      </c>
      <c r="X277">
        <v>-1.1761231812027138</v>
      </c>
      <c r="Y277">
        <v>326</v>
      </c>
    </row>
    <row r="278" spans="20:25" x14ac:dyDescent="0.3">
      <c r="T278">
        <f t="shared" si="12"/>
        <v>2.7599999999999851</v>
      </c>
      <c r="U278">
        <f>($P$3*EXP(-$Q$3*T278)*SIN(2*PI()*T278/$R$3)+$S$3)</f>
        <v>-1.8445283167175084</v>
      </c>
      <c r="W278">
        <f t="shared" si="13"/>
        <v>2.7599999999999851</v>
      </c>
      <c r="X278">
        <v>-1.2099715854192574</v>
      </c>
      <c r="Y278">
        <v>325</v>
      </c>
    </row>
    <row r="279" spans="20:25" x14ac:dyDescent="0.3">
      <c r="T279">
        <f t="shared" si="12"/>
        <v>2.7699999999999849</v>
      </c>
      <c r="U279">
        <f>($P$3*EXP(-$Q$3*T279)*SIN(2*PI()*T279/$R$3)+$S$3)</f>
        <v>-1.788518220253787</v>
      </c>
      <c r="W279">
        <f t="shared" si="13"/>
        <v>2.7699999999999849</v>
      </c>
      <c r="X279">
        <v>-1.2418836891044165</v>
      </c>
      <c r="Y279">
        <v>324</v>
      </c>
    </row>
    <row r="280" spans="20:25" x14ac:dyDescent="0.3">
      <c r="T280">
        <f t="shared" si="12"/>
        <v>2.7799999999999847</v>
      </c>
      <c r="U280">
        <f>($P$3*EXP(-$Q$3*T280)*SIN(2*PI()*T280/$R$3)+$S$3)</f>
        <v>-1.7296988599418692</v>
      </c>
      <c r="W280">
        <f t="shared" si="13"/>
        <v>2.7799999999999847</v>
      </c>
      <c r="X280">
        <v>-1.2717913985798428</v>
      </c>
      <c r="Y280">
        <v>323</v>
      </c>
    </row>
    <row r="281" spans="20:25" x14ac:dyDescent="0.3">
      <c r="T281">
        <f t="shared" si="12"/>
        <v>2.7899999999999845</v>
      </c>
      <c r="U281">
        <f>($P$3*EXP(-$Q$3*T281)*SIN(2*PI()*T281/$R$3)+$S$3)</f>
        <v>-1.6681904487293659</v>
      </c>
      <c r="W281">
        <f t="shared" si="13"/>
        <v>2.7899999999999845</v>
      </c>
      <c r="X281">
        <v>-1.2996297554242757</v>
      </c>
      <c r="Y281">
        <v>322</v>
      </c>
    </row>
    <row r="282" spans="20:25" x14ac:dyDescent="0.3">
      <c r="T282">
        <f t="shared" si="12"/>
        <v>2.7999999999999843</v>
      </c>
      <c r="U282">
        <f>($P$3*EXP(-$Q$3*T282)*SIN(2*PI()*T282/$R$3)+$S$3)</f>
        <v>-1.6041172079523947</v>
      </c>
      <c r="W282">
        <f t="shared" si="13"/>
        <v>2.7999999999999843</v>
      </c>
      <c r="X282">
        <v>-1.3253370702295679</v>
      </c>
      <c r="Y282">
        <v>321</v>
      </c>
    </row>
    <row r="283" spans="20:25" x14ac:dyDescent="0.3">
      <c r="T283">
        <f t="shared" si="12"/>
        <v>2.8099999999999841</v>
      </c>
      <c r="U283">
        <f>($P$3*EXP(-$Q$3*T283)*SIN(2*PI()*T283/$R$3)+$S$3)</f>
        <v>-1.5376071249689873</v>
      </c>
      <c r="W283">
        <f t="shared" si="13"/>
        <v>2.8099999999999841</v>
      </c>
      <c r="X283">
        <v>-1.3488550513799251</v>
      </c>
      <c r="Y283">
        <v>320</v>
      </c>
    </row>
    <row r="284" spans="20:25" x14ac:dyDescent="0.3">
      <c r="T284">
        <f t="shared" si="12"/>
        <v>2.8199999999999839</v>
      </c>
      <c r="U284">
        <f>($P$3*EXP(-$Q$3*T284)*SIN(2*PI()*T284/$R$3)+$S$3)</f>
        <v>-1.4687917056214512</v>
      </c>
      <c r="W284">
        <f t="shared" si="13"/>
        <v>2.8199999999999839</v>
      </c>
      <c r="X284">
        <v>-1.3701289285967098</v>
      </c>
      <c r="Y284">
        <v>319</v>
      </c>
    </row>
    <row r="285" spans="20:25" x14ac:dyDescent="0.3">
      <c r="T285">
        <f t="shared" si="12"/>
        <v>2.8299999999999836</v>
      </c>
      <c r="U285">
        <f>($P$3*EXP(-$Q$3*T285)*SIN(2*PI()*T285/$R$3)+$S$3)</f>
        <v>-1.397805721993796</v>
      </c>
      <c r="W285">
        <f t="shared" si="13"/>
        <v>2.8299999999999836</v>
      </c>
      <c r="X285">
        <v>-1.3891075709987484</v>
      </c>
      <c r="Y285">
        <v>318</v>
      </c>
    </row>
    <row r="286" spans="20:25" x14ac:dyDescent="0.3">
      <c r="T286">
        <f t="shared" si="12"/>
        <v>2.8399999999999834</v>
      </c>
      <c r="U286">
        <f>($P$3*EXP(-$Q$3*T286)*SIN(2*PI()*T286/$R$3)+$S$3)</f>
        <v>-1.3247869559358587</v>
      </c>
      <c r="W286">
        <f t="shared" si="13"/>
        <v>2.8399999999999834</v>
      </c>
      <c r="X286">
        <v>-1.4057435994363721</v>
      </c>
      <c r="Y286">
        <v>317</v>
      </c>
    </row>
    <row r="287" spans="20:25" x14ac:dyDescent="0.3">
      <c r="T287">
        <f t="shared" si="12"/>
        <v>2.8499999999999832</v>
      </c>
      <c r="U287">
        <f>($P$3*EXP(-$Q$3*T287)*SIN(2*PI()*T287/$R$3)+$S$3)</f>
        <v>-1.2498759388303391</v>
      </c>
      <c r="W287">
        <f t="shared" si="13"/>
        <v>2.8499999999999832</v>
      </c>
      <c r="X287">
        <v>-1.4199934928660189</v>
      </c>
      <c r="Y287">
        <v>316</v>
      </c>
    </row>
    <row r="288" spans="20:25" x14ac:dyDescent="0.3">
      <c r="T288">
        <f t="shared" si="12"/>
        <v>2.859999999999983</v>
      </c>
      <c r="U288">
        <f>($P$3*EXP(-$Q$3*T288)*SIN(2*PI()*T288/$R$3)+$S$3)</f>
        <v>-1.1732156880827178</v>
      </c>
      <c r="W288">
        <f t="shared" si="13"/>
        <v>2.859999999999983</v>
      </c>
      <c r="X288">
        <v>-1.431817688541424</v>
      </c>
      <c r="Y288">
        <v>315</v>
      </c>
    </row>
    <row r="289" spans="20:25" x14ac:dyDescent="0.3">
      <c r="T289">
        <f t="shared" si="12"/>
        <v>2.8699999999999828</v>
      </c>
      <c r="U289">
        <f>($P$3*EXP(-$Q$3*T289)*SIN(2*PI()*T289/$R$3)+$S$3)</f>
        <v>-1.0949514408169121</v>
      </c>
      <c r="W289">
        <f t="shared" si="13"/>
        <v>2.8699999999999828</v>
      </c>
      <c r="X289">
        <v>-1.4411806758069581</v>
      </c>
      <c r="Y289">
        <v>314</v>
      </c>
    </row>
    <row r="290" spans="20:25" x14ac:dyDescent="0.3">
      <c r="T290">
        <f t="shared" si="12"/>
        <v>2.8799999999999826</v>
      </c>
      <c r="U290">
        <f>($P$3*EXP(-$Q$3*T290)*SIN(2*PI()*T290/$R$3)+$S$3)</f>
        <v>-1.015230385261592</v>
      </c>
      <c r="W290">
        <f t="shared" si="13"/>
        <v>2.8799999999999826</v>
      </c>
      <c r="X290">
        <v>-1.4480510832887421</v>
      </c>
      <c r="Y290">
        <v>313</v>
      </c>
    </row>
    <row r="291" spans="20:25" x14ac:dyDescent="0.3">
      <c r="T291">
        <f t="shared" si="12"/>
        <v>2.8899999999999824</v>
      </c>
      <c r="U291">
        <f>($P$3*EXP(-$Q$3*T291)*SIN(2*PI()*T291/$R$3)+$S$3)</f>
        <v>-0.93420139031321525</v>
      </c>
      <c r="W291">
        <f t="shared" si="13"/>
        <v>2.8899999999999824</v>
      </c>
      <c r="X291">
        <v>-1.4524017592895915</v>
      </c>
      <c r="Y291">
        <v>312</v>
      </c>
    </row>
    <row r="292" spans="20:25" x14ac:dyDescent="0.3">
      <c r="T292">
        <f t="shared" si="12"/>
        <v>2.8999999999999821</v>
      </c>
      <c r="U292">
        <f>($P$3*EXP(-$Q$3*T292)*SIN(2*PI()*T292/$R$3)+$S$3)</f>
        <v>-0.85201473376210157</v>
      </c>
      <c r="W292">
        <f t="shared" si="13"/>
        <v>2.8999999999999821</v>
      </c>
      <c r="X292">
        <v>-1.4542098452047023</v>
      </c>
      <c r="Y292">
        <v>311</v>
      </c>
    </row>
    <row r="293" spans="20:25" x14ac:dyDescent="0.3">
      <c r="T293">
        <f t="shared" si="12"/>
        <v>2.9099999999999819</v>
      </c>
      <c r="U293">
        <f>($P$3*EXP(-$Q$3*T293)*SIN(2*PI()*T293/$R$3)+$S$3)</f>
        <v>-0.76882182966732271</v>
      </c>
      <c r="W293">
        <f t="shared" si="13"/>
        <v>2.9099999999999819</v>
      </c>
      <c r="X293">
        <v>-1.4534568417862239</v>
      </c>
      <c r="Y293">
        <v>310</v>
      </c>
    </row>
    <row r="294" spans="20:25" x14ac:dyDescent="0.3">
      <c r="T294">
        <f t="shared" si="12"/>
        <v>2.9199999999999817</v>
      </c>
      <c r="U294">
        <f>($P$3*EXP(-$Q$3*T294)*SIN(2*PI()*T294/$R$3)+$S$3)</f>
        <v>-0.68477495536487754</v>
      </c>
      <c r="W294">
        <f t="shared" si="13"/>
        <v>2.9199999999999817</v>
      </c>
      <c r="X294">
        <v>-1.4501286680964971</v>
      </c>
      <c r="Y294">
        <v>309</v>
      </c>
    </row>
    <row r="295" spans="20:25" x14ac:dyDescent="0.3">
      <c r="T295">
        <f t="shared" ref="T295:T358" si="14">T294+0.01</f>
        <v>2.9299999999999815</v>
      </c>
      <c r="U295">
        <f>($P$3*EXP(-$Q$3*T295)*SIN(2*PI()*T295/$R$3)+$S$3)</f>
        <v>-0.60002697859117404</v>
      </c>
      <c r="W295">
        <f t="shared" si="13"/>
        <v>2.9299999999999815</v>
      </c>
      <c r="X295">
        <v>-1.4442157130016824</v>
      </c>
      <c r="Y295">
        <v>308</v>
      </c>
    </row>
    <row r="296" spans="20:25" x14ac:dyDescent="0.3">
      <c r="T296">
        <f t="shared" si="14"/>
        <v>2.9399999999999813</v>
      </c>
      <c r="U296">
        <f>($P$3*EXP(-$Q$3*T296)*SIN(2*PI()*T296/$R$3)+$S$3)</f>
        <v>-0.51473108520094979</v>
      </c>
      <c r="W296">
        <f t="shared" si="13"/>
        <v>2.9399999999999813</v>
      </c>
      <c r="X296">
        <v>-1.435712879069813</v>
      </c>
      <c r="Y296">
        <v>307</v>
      </c>
    </row>
    <row r="297" spans="20:25" x14ac:dyDescent="0.3">
      <c r="T297">
        <f t="shared" si="14"/>
        <v>2.9499999999999811</v>
      </c>
      <c r="U297">
        <f>($P$3*EXP(-$Q$3*T297)*SIN(2*PI()*T297/$R$3)+$S$3)</f>
        <v>-0.42904050795466814</v>
      </c>
      <c r="W297">
        <f t="shared" si="13"/>
        <v>2.9499999999999811</v>
      </c>
      <c r="X297">
        <v>-1.4246196187499265</v>
      </c>
      <c r="Y297">
        <v>306</v>
      </c>
    </row>
    <row r="298" spans="20:25" x14ac:dyDescent="0.3">
      <c r="T298">
        <f t="shared" si="14"/>
        <v>2.9599999999999809</v>
      </c>
      <c r="U298">
        <f>($P$3*EXP(-$Q$3*T298)*SIN(2*PI()*T298/$R$3)+$S$3)</f>
        <v>-0.34310825684592361</v>
      </c>
      <c r="W298">
        <f t="shared" si="13"/>
        <v>2.9599999999999809</v>
      </c>
      <c r="X298">
        <v>-1.4109399627218357</v>
      </c>
      <c r="Y298">
        <v>305</v>
      </c>
    </row>
    <row r="299" spans="20:25" x14ac:dyDescent="0.3">
      <c r="T299">
        <f t="shared" si="14"/>
        <v>2.9699999999999807</v>
      </c>
      <c r="U299">
        <f>($P$3*EXP(-$Q$3*T299)*SIN(2*PI()*T299/$R$3)+$S$3)</f>
        <v>-0.25708685143362775</v>
      </c>
      <c r="W299">
        <f t="shared" si="13"/>
        <v>2.9699999999999807</v>
      </c>
      <c r="X299">
        <v>-1.394682540319272</v>
      </c>
      <c r="Y299">
        <v>304</v>
      </c>
    </row>
    <row r="300" spans="20:25" x14ac:dyDescent="0.3">
      <c r="T300">
        <f t="shared" si="14"/>
        <v>2.9799999999999804</v>
      </c>
      <c r="U300">
        <f>($P$3*EXP(-$Q$3*T300)*SIN(2*PI()*T300/$R$3)+$S$3)</f>
        <v>-0.17112805563760541</v>
      </c>
      <c r="W300">
        <f t="shared" si="13"/>
        <v>2.9799999999999804</v>
      </c>
      <c r="X300">
        <v>-1.3758605919425804</v>
      </c>
      <c r="Y300">
        <v>303</v>
      </c>
    </row>
    <row r="301" spans="20:25" x14ac:dyDescent="0.3">
      <c r="T301">
        <f t="shared" si="14"/>
        <v>2.9899999999999802</v>
      </c>
      <c r="U301">
        <f>($P$3*EXP(-$Q$3*T301)*SIN(2*PI()*T301/$R$3)+$S$3)</f>
        <v>-8.5382615449160343E-2</v>
      </c>
      <c r="W301">
        <f t="shared" si="13"/>
        <v>2.9899999999999802</v>
      </c>
      <c r="X301">
        <v>-1.3544919733908154</v>
      </c>
      <c r="Y301">
        <v>302</v>
      </c>
    </row>
    <row r="302" spans="20:25" x14ac:dyDescent="0.3">
      <c r="T302">
        <f t="shared" si="14"/>
        <v>2.99999999999998</v>
      </c>
      <c r="U302">
        <f>($P$3*EXP(-$Q$3*T302)*SIN(2*PI()*T302/$R$3)+$S$3)</f>
        <v>-1.7071622338750767E-13</v>
      </c>
      <c r="W302">
        <f t="shared" si="13"/>
        <v>2.99999999999998</v>
      </c>
      <c r="X302">
        <v>-1.330599152056942</v>
      </c>
      <c r="Y302">
        <v>301</v>
      </c>
    </row>
    <row r="303" spans="20:25" x14ac:dyDescent="0.3">
      <c r="T303">
        <f t="shared" si="14"/>
        <v>3.0099999999999798</v>
      </c>
      <c r="U303">
        <f>($P$3*EXP(-$Q$3*T303)*SIN(2*PI()*T303/$R$3)+$S$3)</f>
        <v>8.4871853574030751E-2</v>
      </c>
      <c r="W303">
        <f t="shared" si="13"/>
        <v>3.0099999999999798</v>
      </c>
      <c r="X303">
        <v>-1.3042091949438894</v>
      </c>
      <c r="Y303">
        <v>300</v>
      </c>
    </row>
    <row r="304" spans="20:25" x14ac:dyDescent="0.3">
      <c r="T304">
        <f t="shared" si="14"/>
        <v>3.0199999999999796</v>
      </c>
      <c r="U304">
        <f>($P$3*EXP(-$Q$3*T304)*SIN(2*PI()*T304/$R$3)+$S$3)</f>
        <v>0.16908679105224236</v>
      </c>
      <c r="W304">
        <f t="shared" si="13"/>
        <v>3.0199999999999796</v>
      </c>
      <c r="X304">
        <v>-1.2753537484734379</v>
      </c>
      <c r="Y304">
        <v>299</v>
      </c>
    </row>
    <row r="305" spans="20:25" x14ac:dyDescent="0.3">
      <c r="T305">
        <f t="shared" si="14"/>
        <v>3.0299999999999794</v>
      </c>
      <c r="U305">
        <f>($P$3*EXP(-$Q$3*T305)*SIN(2*PI()*T305/$R$3)+$S$3)</f>
        <v>0.25250068740945769</v>
      </c>
      <c r="W305">
        <f t="shared" si="13"/>
        <v>3.0299999999999794</v>
      </c>
      <c r="X305">
        <v>-1.2440690100742879</v>
      </c>
      <c r="Y305">
        <v>298</v>
      </c>
    </row>
    <row r="306" spans="20:25" x14ac:dyDescent="0.3">
      <c r="T306">
        <f t="shared" si="14"/>
        <v>3.0399999999999792</v>
      </c>
      <c r="U306">
        <f>($P$3*EXP(-$Q$3*T306)*SIN(2*PI()*T306/$R$3)+$S$3)</f>
        <v>0.33497168805828909</v>
      </c>
      <c r="W306">
        <f t="shared" si="13"/>
        <v>3.0399999999999792</v>
      </c>
      <c r="X306">
        <v>-1.2103956915500236</v>
      </c>
      <c r="Y306">
        <v>297</v>
      </c>
    </row>
    <row r="307" spans="20:25" x14ac:dyDescent="0.3">
      <c r="T307">
        <f t="shared" si="14"/>
        <v>3.049999999999979</v>
      </c>
      <c r="U307">
        <f>($P$3*EXP(-$Q$3*T307)*SIN(2*PI()*T307/$R$3)+$S$3)</f>
        <v>0.4163604446556588</v>
      </c>
      <c r="W307">
        <f t="shared" si="13"/>
        <v>3.049999999999979</v>
      </c>
      <c r="X307">
        <v>-1.1743789742423718</v>
      </c>
      <c r="Y307">
        <v>296</v>
      </c>
    </row>
    <row r="308" spans="20:25" x14ac:dyDescent="0.3">
      <c r="T308">
        <f t="shared" si="14"/>
        <v>3.0599999999999787</v>
      </c>
      <c r="U308">
        <f>($P$3*EXP(-$Q$3*T308)*SIN(2*PI()*T308/$R$3)+$S$3)</f>
        <v>0.49653034509280625</v>
      </c>
      <c r="W308">
        <f t="shared" si="13"/>
        <v>3.0599999999999787</v>
      </c>
      <c r="X308">
        <v>-1.1360684560195908</v>
      </c>
      <c r="Y308">
        <v>295</v>
      </c>
    </row>
    <row r="309" spans="20:25" x14ac:dyDescent="0.3">
      <c r="T309">
        <f t="shared" si="14"/>
        <v>3.0699999999999785</v>
      </c>
      <c r="U309">
        <f>($P$3*EXP(-$Q$3*T309)*SIN(2*PI()*T309/$R$3)+$S$3)</f>
        <v>0.57534773729897382</v>
      </c>
      <c r="W309">
        <f t="shared" si="13"/>
        <v>3.0699999999999785</v>
      </c>
      <c r="X309">
        <v>-1.0955180901346522</v>
      </c>
      <c r="Y309">
        <v>294</v>
      </c>
    </row>
    <row r="310" spans="20:25" x14ac:dyDescent="0.3">
      <c r="T310">
        <f t="shared" si="14"/>
        <v>3.0799999999999783</v>
      </c>
      <c r="U310">
        <f>($P$3*EXP(-$Q$3*T310)*SIN(2*PI()*T310/$R$3)+$S$3)</f>
        <v>0.6526821465024375</v>
      </c>
      <c r="W310">
        <f t="shared" si="13"/>
        <v>3.0799999999999783</v>
      </c>
      <c r="X310">
        <v>-1.0527861160123109</v>
      </c>
      <c r="Y310">
        <v>293</v>
      </c>
    </row>
    <row r="311" spans="20:25" x14ac:dyDescent="0.3">
      <c r="T311">
        <f t="shared" si="14"/>
        <v>3.0899999999999781</v>
      </c>
      <c r="U311">
        <f>($P$3*EXP(-$Q$3*T311)*SIN(2*PI()*T311/$R$3)+$S$3)</f>
        <v>0.72840648560596699</v>
      </c>
      <c r="W311">
        <f t="shared" si="13"/>
        <v>3.0899999999999781</v>
      </c>
      <c r="X311">
        <v>-1.0079349820390273</v>
      </c>
      <c r="Y311">
        <v>292</v>
      </c>
    </row>
    <row r="312" spans="20:25" x14ac:dyDescent="0.3">
      <c r="T312">
        <f t="shared" si="14"/>
        <v>3.0999999999999779</v>
      </c>
      <c r="U312">
        <f>($P$3*EXP(-$Q$3*T312)*SIN(2*PI()*T312/$R$3)+$S$3)</f>
        <v>0.80239725834807207</v>
      </c>
      <c r="W312">
        <f t="shared" si="13"/>
        <v>3.0999999999999779</v>
      </c>
      <c r="X312">
        <v>-0.9610312604440423</v>
      </c>
      <c r="Y312">
        <v>291</v>
      </c>
    </row>
    <row r="313" spans="20:25" x14ac:dyDescent="0.3">
      <c r="T313">
        <f t="shared" si="14"/>
        <v>3.1099999999999777</v>
      </c>
      <c r="U313">
        <f>($P$3*EXP(-$Q$3*T313)*SIN(2*PI()*T313/$R$3)+$S$3)</f>
        <v>0.87453475493605048</v>
      </c>
      <c r="W313">
        <f t="shared" si="13"/>
        <v>3.1099999999999777</v>
      </c>
      <c r="X313">
        <v>-0.91214555437468636</v>
      </c>
      <c r="Y313">
        <v>290</v>
      </c>
    </row>
    <row r="314" spans="20:25" x14ac:dyDescent="0.3">
      <c r="T314">
        <f t="shared" si="14"/>
        <v>3.1199999999999775</v>
      </c>
      <c r="U314">
        <f>($P$3*EXP(-$Q$3*T314)*SIN(2*PI()*T314/$R$3)+$S$3)</f>
        <v>0.94470323985193461</v>
      </c>
      <c r="W314">
        <f t="shared" si="13"/>
        <v>3.1199999999999775</v>
      </c>
      <c r="X314">
        <v>-0.8613523972831626</v>
      </c>
      <c r="Y314">
        <v>289</v>
      </c>
    </row>
    <row r="315" spans="20:25" x14ac:dyDescent="0.3">
      <c r="T315">
        <f t="shared" si="14"/>
        <v>3.1299999999999772</v>
      </c>
      <c r="U315">
        <f>($P$3*EXP(-$Q$3*T315)*SIN(2*PI()*T315/$R$3)+$S$3)</f>
        <v>1.012791131547955</v>
      </c>
      <c r="W315">
        <f t="shared" si="13"/>
        <v>3.1299999999999772</v>
      </c>
      <c r="X315">
        <v>-0.80873014475661975</v>
      </c>
      <c r="Y315">
        <v>288</v>
      </c>
    </row>
    <row r="316" spans="20:25" x14ac:dyDescent="0.3">
      <c r="T316">
        <f t="shared" si="14"/>
        <v>3.139999999999977</v>
      </c>
      <c r="U316">
        <f>($P$3*EXP(-$Q$3*T316)*SIN(2*PI()*T316/$R$3)+$S$3)</f>
        <v>1.0786911737641314</v>
      </c>
      <c r="W316">
        <f t="shared" si="13"/>
        <v>3.139999999999977</v>
      </c>
      <c r="X316">
        <v>-0.75436085893621529</v>
      </c>
      <c r="Y316">
        <v>287</v>
      </c>
    </row>
    <row r="317" spans="20:25" x14ac:dyDescent="0.3">
      <c r="T317">
        <f t="shared" si="14"/>
        <v>3.1499999999999768</v>
      </c>
      <c r="U317">
        <f>($P$3*EXP(-$Q$3*T317)*SIN(2*PI()*T317/$R$3)+$S$3)</f>
        <v>1.1423005982169419</v>
      </c>
      <c r="W317">
        <f t="shared" si="13"/>
        <v>3.1499999999999768</v>
      </c>
      <c r="X317">
        <v>-0.69833018568510175</v>
      </c>
      <c r="Y317">
        <v>286</v>
      </c>
    </row>
    <row r="318" spans="20:25" x14ac:dyDescent="0.3">
      <c r="T318">
        <f t="shared" si="14"/>
        <v>3.1599999999999766</v>
      </c>
      <c r="U318">
        <f>($P$3*EXP(-$Q$3*T318)*SIN(2*PI()*T318/$R$3)+$S$3)</f>
        <v>1.2035212784246707</v>
      </c>
      <c r="W318">
        <f t="shared" si="13"/>
        <v>3.1599999999999766</v>
      </c>
      <c r="X318">
        <v>-0.64072722467889665</v>
      </c>
      <c r="Y318">
        <v>285</v>
      </c>
    </row>
    <row r="319" spans="20:25" x14ac:dyDescent="0.3">
      <c r="T319">
        <f t="shared" si="14"/>
        <v>3.1699999999999764</v>
      </c>
      <c r="U319">
        <f>($P$3*EXP(-$Q$3*T319)*SIN(2*PI()*T319/$R$3)+$S$3)</f>
        <v>1.2622598744520031</v>
      </c>
      <c r="W319">
        <f t="shared" si="13"/>
        <v>3.1699999999999764</v>
      </c>
      <c r="X319">
        <v>-0.58164439260578937</v>
      </c>
      <c r="Y319">
        <v>284</v>
      </c>
    </row>
    <row r="320" spans="20:25" x14ac:dyDescent="0.3">
      <c r="T320">
        <f t="shared" si="14"/>
        <v>3.1799999999999762</v>
      </c>
      <c r="U320">
        <f>($P$3*EXP(-$Q$3*T320)*SIN(2*PI()*T320/$R$3)+$S$3)</f>
        <v>1.3184279683737115</v>
      </c>
      <c r="W320">
        <f t="shared" si="13"/>
        <v>3.1799999999999762</v>
      </c>
      <c r="X320">
        <v>-0.52117727967678673</v>
      </c>
      <c r="Y320">
        <v>283</v>
      </c>
    </row>
    <row r="321" spans="20:25" x14ac:dyDescent="0.3">
      <c r="T321">
        <f t="shared" si="14"/>
        <v>3.189999999999976</v>
      </c>
      <c r="U321">
        <f>($P$3*EXP(-$Q$3*T321)*SIN(2*PI()*T321/$R$3)+$S$3)</f>
        <v>1.371942190274833</v>
      </c>
      <c r="W321">
        <f t="shared" si="13"/>
        <v>3.189999999999976</v>
      </c>
      <c r="X321">
        <v>-0.45942449965963916</v>
      </c>
      <c r="Y321">
        <v>282</v>
      </c>
    </row>
    <row r="322" spans="20:25" x14ac:dyDescent="0.3">
      <c r="T322">
        <f t="shared" si="14"/>
        <v>3.1999999999999758</v>
      </c>
      <c r="U322">
        <f>($P$3*EXP(-$Q$3*T322)*SIN(2*PI()*T322/$R$3)+$S$3)</f>
        <v>1.4227243346224314</v>
      </c>
      <c r="W322">
        <f t="shared" si="13"/>
        <v>3.1999999999999758</v>
      </c>
      <c r="X322">
        <v>-0.39648753366269385</v>
      </c>
      <c r="Y322">
        <v>281</v>
      </c>
    </row>
    <row r="323" spans="20:25" x14ac:dyDescent="0.3">
      <c r="T323">
        <f t="shared" si="14"/>
        <v>3.2099999999999755</v>
      </c>
      <c r="U323">
        <f>($P$3*EXP(-$Q$3*T323)*SIN(2*PI()*T323/$R$3)+$S$3)</f>
        <v>1.4707014668618954</v>
      </c>
      <c r="W323">
        <f t="shared" si="13"/>
        <v>3.2099999999999755</v>
      </c>
      <c r="X323">
        <v>-0.33247056790730534</v>
      </c>
      <c r="Y323">
        <v>280</v>
      </c>
    </row>
    <row r="324" spans="20:25" x14ac:dyDescent="0.3">
      <c r="T324">
        <f t="shared" si="14"/>
        <v>3.2199999999999753</v>
      </c>
      <c r="U324">
        <f>($P$3*EXP(-$Q$3*T324)*SIN(2*PI()*T324/$R$3)+$S$3)</f>
        <v>1.5158060201089285</v>
      </c>
      <c r="W324">
        <f t="shared" ref="W324:W387" si="15">W323+0.01</f>
        <v>3.2199999999999753</v>
      </c>
      <c r="X324">
        <v>-0.26748032573964492</v>
      </c>
      <c r="Y324">
        <v>279</v>
      </c>
    </row>
    <row r="325" spans="20:25" x14ac:dyDescent="0.3">
      <c r="T325">
        <f t="shared" si="14"/>
        <v>3.2299999999999751</v>
      </c>
      <c r="U325">
        <f>($P$3*EXP(-$Q$3*T325)*SIN(2*PI()*T325/$R$3)+$S$3)</f>
        <v>1.5579758818264202</v>
      </c>
      <c r="W325">
        <f t="shared" si="15"/>
        <v>3.2299999999999751</v>
      </c>
      <c r="X325">
        <v>-0.20162589414423662</v>
      </c>
      <c r="Y325">
        <v>278</v>
      </c>
    </row>
    <row r="326" spans="20:25" x14ac:dyDescent="0.3">
      <c r="T326">
        <f t="shared" si="14"/>
        <v>3.2399999999999749</v>
      </c>
      <c r="U326">
        <f>($P$3*EXP(-$Q$3*T326)*SIN(2*PI()*T326/$R$3)+$S$3)</f>
        <v>1.5971544703937921</v>
      </c>
      <c r="W326">
        <f t="shared" si="15"/>
        <v>3.2399999999999749</v>
      </c>
      <c r="X326">
        <v>-0.13501854503308539</v>
      </c>
      <c r="Y326">
        <v>277</v>
      </c>
    </row>
    <row r="327" spans="20:25" x14ac:dyDescent="0.3">
      <c r="T327">
        <f t="shared" si="14"/>
        <v>3.2499999999999747</v>
      </c>
      <c r="U327">
        <f>($P$3*EXP(-$Q$3*T327)*SIN(2*PI()*T327/$R$3)+$S$3)</f>
        <v>1.6332908014945908</v>
      </c>
      <c r="W327">
        <f t="shared" si="15"/>
        <v>3.2499999999999747</v>
      </c>
      <c r="X327">
        <v>-6.7771551594931284E-2</v>
      </c>
      <c r="Y327">
        <v>276</v>
      </c>
    </row>
    <row r="328" spans="20:25" x14ac:dyDescent="0.3">
      <c r="T328">
        <f t="shared" si="14"/>
        <v>3.2599999999999745</v>
      </c>
      <c r="U328">
        <f>($P$3*EXP(-$Q$3*T328)*SIN(2*PI()*T328/$R$3)+$S$3)</f>
        <v>1.6663395442665907</v>
      </c>
      <c r="W328">
        <f t="shared" si="15"/>
        <v>3.2599999999999745</v>
      </c>
      <c r="X328">
        <v>2.4609128677049127E-13</v>
      </c>
      <c r="Y328">
        <v>275</v>
      </c>
    </row>
    <row r="329" spans="20:25" x14ac:dyDescent="0.3">
      <c r="T329">
        <f t="shared" si="14"/>
        <v>3.2699999999999743</v>
      </c>
      <c r="U329">
        <f>($P$3*EXP(-$Q$3*T329)*SIN(2*PI()*T329/$R$3)+$S$3)</f>
        <v>1.6962610671769092</v>
      </c>
      <c r="W329">
        <f t="shared" si="15"/>
        <v>3.2699999999999743</v>
      </c>
      <c r="X329">
        <v>6.817940323635982E-2</v>
      </c>
      <c r="Y329">
        <v>274</v>
      </c>
    </row>
    <row r="330" spans="20:25" x14ac:dyDescent="0.3">
      <c r="T330">
        <f t="shared" si="14"/>
        <v>3.279999999999974</v>
      </c>
      <c r="U330">
        <f>($P$3*EXP(-$Q$3*T330)*SIN(2*PI()*T330/$R$3)+$S$3)</f>
        <v>1.7230214736029168</v>
      </c>
      <c r="W330">
        <f t="shared" si="15"/>
        <v>3.279999999999974</v>
      </c>
      <c r="X330">
        <v>0.13664852791149568</v>
      </c>
      <c r="Y330">
        <v>273</v>
      </c>
    </row>
    <row r="331" spans="20:25" x14ac:dyDescent="0.3">
      <c r="T331">
        <f t="shared" si="14"/>
        <v>3.2899999999999738</v>
      </c>
      <c r="U331">
        <f>($P$3*EXP(-$Q$3*T331)*SIN(2*PI()*T331/$R$3)+$S$3)</f>
        <v>1.7465926271180348</v>
      </c>
      <c r="W331">
        <f t="shared" si="15"/>
        <v>3.2899999999999738</v>
      </c>
      <c r="X331">
        <v>0.20528802049963921</v>
      </c>
      <c r="Y331">
        <v>272</v>
      </c>
    </row>
    <row r="332" spans="20:25" x14ac:dyDescent="0.3">
      <c r="T332">
        <f t="shared" si="14"/>
        <v>3.2999999999999736</v>
      </c>
      <c r="U332">
        <f>($P$3*EXP(-$Q$3*T332)*SIN(2*PI()*T332/$R$3)+$S$3)</f>
        <v>1.7669521664994867</v>
      </c>
      <c r="W332">
        <f t="shared" si="15"/>
        <v>3.2999999999999736</v>
      </c>
      <c r="X332">
        <v>0.27397750788183889</v>
      </c>
      <c r="Y332">
        <v>271</v>
      </c>
    </row>
    <row r="333" spans="20:25" x14ac:dyDescent="0.3">
      <c r="T333">
        <f t="shared" si="14"/>
        <v>3.3099999999999734</v>
      </c>
      <c r="U333">
        <f>($P$3*EXP(-$Q$3*T333)*SIN(2*PI()*T333/$R$3)+$S$3)</f>
        <v>1.7840835104931505</v>
      </c>
      <c r="W333">
        <f t="shared" si="15"/>
        <v>3.3099999999999734</v>
      </c>
      <c r="X333">
        <v>0.34259580410667473</v>
      </c>
      <c r="Y333">
        <v>270</v>
      </c>
    </row>
    <row r="334" spans="20:25" x14ac:dyDescent="0.3">
      <c r="T334">
        <f t="shared" si="14"/>
        <v>3.3199999999999732</v>
      </c>
      <c r="U334">
        <f>($P$3*EXP(-$Q$3*T334)*SIN(2*PI()*T334/$R$3)+$S$3)</f>
        <v>1.7979758523883684</v>
      </c>
      <c r="W334">
        <f t="shared" si="15"/>
        <v>3.3199999999999732</v>
      </c>
      <c r="X334">
        <v>0.41102111983268058</v>
      </c>
      <c r="Y334">
        <v>269</v>
      </c>
    </row>
    <row r="335" spans="20:25" x14ac:dyDescent="0.3">
      <c r="T335">
        <f t="shared" si="14"/>
        <v>3.329999999999973</v>
      </c>
      <c r="U335">
        <f>($P$3*EXP(-$Q$3*T335)*SIN(2*PI()*T335/$R$3)+$S$3)</f>
        <v>1.8086241444732509</v>
      </c>
      <c r="W335">
        <f t="shared" si="15"/>
        <v>3.329999999999973</v>
      </c>
      <c r="X335">
        <v>0.47913127409834749</v>
      </c>
      <c r="Y335">
        <v>268</v>
      </c>
    </row>
    <row r="336" spans="20:25" x14ac:dyDescent="0.3">
      <c r="T336">
        <f t="shared" si="14"/>
        <v>3.3399999999999728</v>
      </c>
      <c r="U336">
        <f>($P$3*EXP(-$Q$3*T336)*SIN(2*PI()*T336/$R$3)+$S$3)</f>
        <v>1.816029072458305</v>
      </c>
      <c r="W336">
        <f t="shared" si="15"/>
        <v>3.3399999999999728</v>
      </c>
      <c r="X336">
        <v>0.54680390805919199</v>
      </c>
      <c r="Y336">
        <v>267</v>
      </c>
    </row>
    <row r="337" spans="20:25" x14ac:dyDescent="0.3">
      <c r="T337">
        <f t="shared" si="14"/>
        <v>3.3499999999999726</v>
      </c>
      <c r="U337">
        <f>($P$3*EXP(-$Q$3*T337)*SIN(2*PI()*T337/$R$3)+$S$3)</f>
        <v>1.8201970199733768</v>
      </c>
      <c r="W337">
        <f t="shared" si="15"/>
        <v>3.3499999999999726</v>
      </c>
      <c r="X337">
        <v>0.61391670032572443</v>
      </c>
      <c r="Y337">
        <v>266</v>
      </c>
    </row>
    <row r="338" spans="20:25" x14ac:dyDescent="0.3">
      <c r="T338">
        <f t="shared" si="14"/>
        <v>3.3599999999999723</v>
      </c>
      <c r="U338">
        <f>($P$3*EXP(-$Q$3*T338)*SIN(2*PI()*T338/$R$3)+$S$3)</f>
        <v>1.8211400232597026</v>
      </c>
      <c r="W338">
        <f t="shared" si="15"/>
        <v>3.3599999999999723</v>
      </c>
      <c r="X338">
        <v>0.68034758353109481</v>
      </c>
      <c r="Y338">
        <v>265</v>
      </c>
    </row>
    <row r="339" spans="20:25" x14ac:dyDescent="0.3">
      <c r="T339">
        <f t="shared" si="14"/>
        <v>3.3699999999999721</v>
      </c>
      <c r="U339">
        <f>($P$3*EXP(-$Q$3*T339)*SIN(2*PI()*T339/$R$3)+$S$3)</f>
        <v>1.8188757161953775</v>
      </c>
      <c r="W339">
        <f t="shared" si="15"/>
        <v>3.3699999999999721</v>
      </c>
      <c r="X339">
        <v>0.74597496175276667</v>
      </c>
      <c r="Y339">
        <v>264</v>
      </c>
    </row>
    <row r="340" spans="20:25" x14ac:dyDescent="0.3">
      <c r="T340">
        <f t="shared" si="14"/>
        <v>3.3799999999999719</v>
      </c>
      <c r="U340">
        <f>($P$3*EXP(-$Q$3*T340)*SIN(2*PI()*T340/$R$3)+$S$3)</f>
        <v>1.8134272658087174</v>
      </c>
      <c r="W340">
        <f t="shared" si="15"/>
        <v>3.3799999999999719</v>
      </c>
      <c r="X340">
        <v>0.8106779284088157</v>
      </c>
      <c r="Y340">
        <v>263</v>
      </c>
    </row>
    <row r="341" spans="20:25" x14ac:dyDescent="0.3">
      <c r="T341">
        <f t="shared" si="14"/>
        <v>3.3899999999999717</v>
      </c>
      <c r="U341">
        <f>($P$3*EXP(-$Q$3*T341)*SIN(2*PI()*T341/$R$3)+$S$3)</f>
        <v>1.8048232984497805</v>
      </c>
      <c r="W341">
        <f t="shared" si="15"/>
        <v>3.3899999999999717</v>
      </c>
      <c r="X341">
        <v>0.87433648424635435</v>
      </c>
      <c r="Y341">
        <v>262</v>
      </c>
    </row>
    <row r="342" spans="20:25" x14ac:dyDescent="0.3">
      <c r="T342">
        <f t="shared" si="14"/>
        <v>3.3999999999999715</v>
      </c>
      <c r="U342">
        <f>($P$3*EXP(-$Q$3*T342)*SIN(2*PI()*T342/$R$3)+$S$3)</f>
        <v>1.7930978168057328</v>
      </c>
      <c r="W342">
        <f t="shared" si="15"/>
        <v>3.3999999999999715</v>
      </c>
      <c r="X342">
        <v>0.93683175503709271</v>
      </c>
      <c r="Y342">
        <v>261</v>
      </c>
    </row>
    <row r="343" spans="20:25" x14ac:dyDescent="0.3">
      <c r="T343">
        <f t="shared" si="14"/>
        <v>3.4099999999999713</v>
      </c>
      <c r="U343">
        <f>($P$3*EXP(-$Q$3*T343)*SIN(2*PI()*T343/$R$3)+$S$3)</f>
        <v>1.7782901079607205</v>
      </c>
      <c r="W343">
        <f t="shared" si="15"/>
        <v>3.4099999999999713</v>
      </c>
      <c r="X343">
        <v>0.99804620859322657</v>
      </c>
      <c r="Y343">
        <v>260</v>
      </c>
    </row>
    <row r="344" spans="20:25" x14ac:dyDescent="0.3">
      <c r="T344">
        <f t="shared" si="14"/>
        <v>3.4199999999999711</v>
      </c>
      <c r="U344">
        <f>($P$3*EXP(-$Q$3*T344)*SIN(2*PI()*T344/$R$3)+$S$3)</f>
        <v>1.760444642715455</v>
      </c>
      <c r="W344">
        <f t="shared" si="15"/>
        <v>3.4199999999999711</v>
      </c>
      <c r="X344">
        <v>1.0578638707157426</v>
      </c>
      <c r="Y344">
        <v>259</v>
      </c>
    </row>
    <row r="345" spans="20:25" x14ac:dyDescent="0.3">
      <c r="T345">
        <f t="shared" si="14"/>
        <v>3.4299999999999708</v>
      </c>
      <c r="U345">
        <f>($P$3*EXP(-$Q$3*T345)*SIN(2*PI()*T345/$R$3)+$S$3)</f>
        <v>1.7396109663958004</v>
      </c>
      <c r="W345">
        <f t="shared" si="15"/>
        <v>3.4299999999999708</v>
      </c>
      <c r="X345">
        <v>1.1161705396867976</v>
      </c>
      <c r="Y345">
        <v>258</v>
      </c>
    </row>
    <row r="346" spans="20:25" x14ac:dyDescent="0.3">
      <c r="T346">
        <f t="shared" si="14"/>
        <v>3.4399999999999706</v>
      </c>
      <c r="U346">
        <f>($P$3*EXP(-$Q$3*T346)*SIN(2*PI()*T346/$R$3)+$S$3)</f>
        <v>1.7158435813932411</v>
      </c>
      <c r="W346">
        <f t="shared" si="15"/>
        <v>3.4399999999999706</v>
      </c>
      <c r="X346">
        <v>1.1728539989180671</v>
      </c>
      <c r="Y346">
        <v>257</v>
      </c>
    </row>
    <row r="347" spans="20:25" x14ac:dyDescent="0.3">
      <c r="T347">
        <f t="shared" si="14"/>
        <v>3.4499999999999704</v>
      </c>
      <c r="U347">
        <f>($P$3*EXP(-$Q$3*T347)*SIN(2*PI()*T347/$R$3)+$S$3)</f>
        <v>1.6892018216931814</v>
      </c>
      <c r="W347">
        <f t="shared" si="15"/>
        <v>3.4499999999999704</v>
      </c>
      <c r="X347">
        <v>1.2278042273678</v>
      </c>
      <c r="Y347">
        <v>256</v>
      </c>
    </row>
    <row r="348" spans="20:25" x14ac:dyDescent="0.3">
      <c r="T348">
        <f t="shared" si="14"/>
        <v>3.4599999999999702</v>
      </c>
      <c r="U348">
        <f>($P$3*EXP(-$Q$3*T348)*SIN(2*PI()*T348/$R$3)+$S$3)</f>
        <v>1.659749719659612</v>
      </c>
      <c r="W348">
        <f t="shared" si="15"/>
        <v>3.4599999999999702</v>
      </c>
      <c r="X348">
        <v>1.2809136073410796</v>
      </c>
      <c r="Y348">
        <v>255</v>
      </c>
    </row>
    <row r="349" spans="20:25" x14ac:dyDescent="0.3">
      <c r="T349">
        <f t="shared" si="14"/>
        <v>3.46999999999997</v>
      </c>
      <c r="U349">
        <f>($P$3*EXP(-$Q$3*T349)*SIN(2*PI()*T349/$R$3)+$S$3)</f>
        <v>1.6275558653566446</v>
      </c>
      <c r="W349">
        <f t="shared" si="15"/>
        <v>3.46999999999997</v>
      </c>
      <c r="X349">
        <v>1.3320771292899607</v>
      </c>
      <c r="Y349">
        <v>254</v>
      </c>
    </row>
    <row r="350" spans="20:25" x14ac:dyDescent="0.3">
      <c r="T350">
        <f t="shared" si="14"/>
        <v>3.4799999999999698</v>
      </c>
      <c r="U350">
        <f>($P$3*EXP(-$Q$3*T350)*SIN(2*PI()*T350/$R$3)+$S$3)</f>
        <v>1.592693258698902</v>
      </c>
      <c r="W350">
        <f t="shared" si="15"/>
        <v>3.4799999999999698</v>
      </c>
      <c r="X350">
        <v>1.3811925932332643</v>
      </c>
      <c r="Y350">
        <v>253</v>
      </c>
    </row>
    <row r="351" spans="20:25" x14ac:dyDescent="0.3">
      <c r="T351">
        <f t="shared" si="14"/>
        <v>3.4899999999999696</v>
      </c>
      <c r="U351">
        <f>($P$3*EXP(-$Q$3*T351)*SIN(2*PI()*T351/$R$3)+$S$3)</f>
        <v>1.5552391547335567</v>
      </c>
      <c r="W351">
        <f t="shared" si="15"/>
        <v>3.4899999999999696</v>
      </c>
      <c r="X351">
        <v>1.4281608064193785</v>
      </c>
      <c r="Y351">
        <v>252</v>
      </c>
    </row>
    <row r="352" spans="20:25" x14ac:dyDescent="0.3">
      <c r="T352">
        <f t="shared" si="14"/>
        <v>3.4999999999999694</v>
      </c>
      <c r="U352">
        <f>($P$3*EXP(-$Q$3*T352)*SIN(2*PI()*T352/$R$3)+$S$3)</f>
        <v>1.5152749023671566</v>
      </c>
      <c r="W352">
        <f t="shared" si="15"/>
        <v>3.4999999999999694</v>
      </c>
      <c r="X352">
        <v>1.4728857768599306</v>
      </c>
      <c r="Y352">
        <v>251</v>
      </c>
    </row>
    <row r="353" spans="20:25" x14ac:dyDescent="0.3">
      <c r="T353">
        <f t="shared" si="14"/>
        <v>3.5099999999999691</v>
      </c>
      <c r="U353">
        <f>($P$3*EXP(-$Q$3*T353)*SIN(2*PI()*T353/$R$3)+$S$3)</f>
        <v>1.4728857768599306</v>
      </c>
      <c r="W353">
        <f t="shared" si="15"/>
        <v>3.5099999999999691</v>
      </c>
      <c r="X353">
        <v>1.5152749023671566</v>
      </c>
      <c r="Y353">
        <v>250</v>
      </c>
    </row>
    <row r="354" spans="20:25" x14ac:dyDescent="0.3">
      <c r="T354">
        <f t="shared" si="14"/>
        <v>3.5199999999999689</v>
      </c>
      <c r="U354">
        <f>($P$3*EXP(-$Q$3*T354)*SIN(2*PI()*T354/$R$3)+$S$3)</f>
        <v>1.4281608064193785</v>
      </c>
      <c r="W354">
        <f t="shared" si="15"/>
        <v>3.5199999999999689</v>
      </c>
      <c r="X354">
        <v>1.5552391547335567</v>
      </c>
      <c r="Y354">
        <v>249</v>
      </c>
    </row>
    <row r="355" spans="20:25" x14ac:dyDescent="0.3">
      <c r="T355">
        <f t="shared" si="14"/>
        <v>3.5299999999999687</v>
      </c>
      <c r="U355">
        <f>($P$3*EXP(-$Q$3*T355)*SIN(2*PI()*T355/$R$3)+$S$3)</f>
        <v>1.3811925932332643</v>
      </c>
      <c r="W355">
        <f t="shared" si="15"/>
        <v>3.5299999999999687</v>
      </c>
      <c r="X355">
        <v>1.592693258698902</v>
      </c>
      <c r="Y355">
        <v>248</v>
      </c>
    </row>
    <row r="356" spans="20:25" x14ac:dyDescent="0.3">
      <c r="T356">
        <f t="shared" si="14"/>
        <v>3.5399999999999685</v>
      </c>
      <c r="U356">
        <f>($P$3*EXP(-$Q$3*T356)*SIN(2*PI()*T356/$R$3)+$S$3)</f>
        <v>1.3320771292899607</v>
      </c>
      <c r="W356">
        <f t="shared" si="15"/>
        <v>3.5399999999999685</v>
      </c>
      <c r="X356">
        <v>1.6275558653566446</v>
      </c>
      <c r="Y356">
        <v>247</v>
      </c>
    </row>
    <row r="357" spans="20:25" x14ac:dyDescent="0.3">
      <c r="T357">
        <f t="shared" si="14"/>
        <v>3.5499999999999683</v>
      </c>
      <c r="U357">
        <f>($P$3*EXP(-$Q$3*T357)*SIN(2*PI()*T357/$R$3)+$S$3)</f>
        <v>1.2809136073410796</v>
      </c>
      <c r="W357">
        <f t="shared" si="15"/>
        <v>3.5499999999999683</v>
      </c>
      <c r="X357">
        <v>1.659749719659612</v>
      </c>
      <c r="Y357">
        <v>246</v>
      </c>
    </row>
    <row r="358" spans="20:25" x14ac:dyDescent="0.3">
      <c r="T358">
        <f t="shared" si="14"/>
        <v>3.5599999999999681</v>
      </c>
      <c r="U358">
        <f>($P$3*EXP(-$Q$3*T358)*SIN(2*PI()*T358/$R$3)+$S$3)</f>
        <v>1.2278042273678</v>
      </c>
      <c r="W358">
        <f t="shared" si="15"/>
        <v>3.5599999999999681</v>
      </c>
      <c r="X358">
        <v>1.6892018216931814</v>
      </c>
      <c r="Y358">
        <v>245</v>
      </c>
    </row>
    <row r="359" spans="20:25" x14ac:dyDescent="0.3">
      <c r="T359">
        <f t="shared" ref="T359:T422" si="16">T358+0.01</f>
        <v>3.5699999999999679</v>
      </c>
      <c r="U359">
        <f>($P$3*EXP(-$Q$3*T359)*SIN(2*PI()*T359/$R$3)+$S$3)</f>
        <v>1.1728539989180671</v>
      </c>
      <c r="W359">
        <f t="shared" si="15"/>
        <v>3.5699999999999679</v>
      </c>
      <c r="X359">
        <v>1.7158435813932411</v>
      </c>
      <c r="Y359">
        <v>244</v>
      </c>
    </row>
    <row r="360" spans="20:25" x14ac:dyDescent="0.3">
      <c r="T360">
        <f t="shared" si="16"/>
        <v>3.5799999999999677</v>
      </c>
      <c r="U360">
        <f>($P$3*EXP(-$Q$3*T360)*SIN(2*PI()*T360/$R$3)+$S$3)</f>
        <v>1.1161705396867976</v>
      </c>
      <c r="W360">
        <f t="shared" si="15"/>
        <v>3.5799999999999677</v>
      </c>
      <c r="X360">
        <v>1.7396109663958004</v>
      </c>
      <c r="Y360">
        <v>243</v>
      </c>
    </row>
    <row r="361" spans="20:25" x14ac:dyDescent="0.3">
      <c r="T361">
        <f t="shared" si="16"/>
        <v>3.5899999999999674</v>
      </c>
      <c r="U361">
        <f>($P$3*EXP(-$Q$3*T361)*SIN(2*PI()*T361/$R$3)+$S$3)</f>
        <v>1.0578638707157426</v>
      </c>
      <c r="W361">
        <f t="shared" si="15"/>
        <v>3.5899999999999674</v>
      </c>
      <c r="X361">
        <v>1.760444642715455</v>
      </c>
      <c r="Y361">
        <v>242</v>
      </c>
    </row>
    <row r="362" spans="20:25" x14ac:dyDescent="0.3">
      <c r="T362">
        <f t="shared" si="16"/>
        <v>3.5999999999999672</v>
      </c>
      <c r="U362">
        <f>($P$3*EXP(-$Q$3*T362)*SIN(2*PI()*T362/$R$3)+$S$3)</f>
        <v>0.99804620859322657</v>
      </c>
      <c r="W362">
        <f t="shared" si="15"/>
        <v>3.5999999999999672</v>
      </c>
      <c r="X362">
        <v>1.7782901079607205</v>
      </c>
      <c r="Y362">
        <v>241</v>
      </c>
    </row>
    <row r="363" spans="20:25" x14ac:dyDescent="0.3">
      <c r="T363">
        <f t="shared" si="16"/>
        <v>3.609999999999967</v>
      </c>
      <c r="U363">
        <f>($P$3*EXP(-$Q$3*T363)*SIN(2*PI()*T363/$R$3)+$S$3)</f>
        <v>0.93683175503709271</v>
      </c>
      <c r="W363">
        <f t="shared" si="15"/>
        <v>3.609999999999967</v>
      </c>
      <c r="X363">
        <v>1.7930978168057328</v>
      </c>
      <c r="Y363">
        <v>240</v>
      </c>
    </row>
    <row r="364" spans="20:25" x14ac:dyDescent="0.3">
      <c r="T364">
        <f t="shared" si="16"/>
        <v>3.6199999999999668</v>
      </c>
      <c r="U364">
        <f>($P$3*EXP(-$Q$3*T364)*SIN(2*PI()*T364/$R$3)+$S$3)</f>
        <v>0.87433648424635435</v>
      </c>
      <c r="W364">
        <f t="shared" si="15"/>
        <v>3.6199999999999668</v>
      </c>
      <c r="X364">
        <v>1.8048232984497805</v>
      </c>
      <c r="Y364">
        <v>239</v>
      </c>
    </row>
    <row r="365" spans="20:25" x14ac:dyDescent="0.3">
      <c r="T365">
        <f t="shared" si="16"/>
        <v>3.6299999999999666</v>
      </c>
      <c r="U365">
        <f>($P$3*EXP(-$Q$3*T365)*SIN(2*PI()*T365/$R$3)+$S$3)</f>
        <v>0.8106779284088157</v>
      </c>
      <c r="W365">
        <f t="shared" si="15"/>
        <v>3.6299999999999666</v>
      </c>
      <c r="X365">
        <v>1.8134272658087174</v>
      </c>
      <c r="Y365">
        <v>238</v>
      </c>
    </row>
    <row r="366" spans="20:25" x14ac:dyDescent="0.3">
      <c r="T366">
        <f t="shared" si="16"/>
        <v>3.6399999999999664</v>
      </c>
      <c r="U366">
        <f>($P$3*EXP(-$Q$3*T366)*SIN(2*PI()*T366/$R$3)+$S$3)</f>
        <v>0.74597496175276667</v>
      </c>
      <c r="W366">
        <f t="shared" si="15"/>
        <v>3.6399999999999664</v>
      </c>
      <c r="X366">
        <v>1.8188757161953775</v>
      </c>
      <c r="Y366">
        <v>237</v>
      </c>
    </row>
    <row r="367" spans="20:25" x14ac:dyDescent="0.3">
      <c r="T367">
        <f t="shared" si="16"/>
        <v>3.6499999999999662</v>
      </c>
      <c r="U367">
        <f>($P$3*EXP(-$Q$3*T367)*SIN(2*PI()*T367/$R$3)+$S$3)</f>
        <v>0.68034758353109481</v>
      </c>
      <c r="W367">
        <f t="shared" si="15"/>
        <v>3.6499999999999662</v>
      </c>
      <c r="X367">
        <v>1.8211400232597026</v>
      </c>
      <c r="Y367">
        <v>236</v>
      </c>
    </row>
    <row r="368" spans="20:25" x14ac:dyDescent="0.3">
      <c r="T368">
        <f t="shared" si="16"/>
        <v>3.6599999999999659</v>
      </c>
      <c r="U368">
        <f>($P$3*EXP(-$Q$3*T368)*SIN(2*PI()*T368/$R$3)+$S$3)</f>
        <v>0.61391670032572443</v>
      </c>
      <c r="W368">
        <f t="shared" si="15"/>
        <v>3.6599999999999659</v>
      </c>
      <c r="X368">
        <v>1.8201970199733768</v>
      </c>
      <c r="Y368">
        <v>235</v>
      </c>
    </row>
    <row r="369" spans="20:25" x14ac:dyDescent="0.3">
      <c r="T369">
        <f t="shared" si="16"/>
        <v>3.6699999999999657</v>
      </c>
      <c r="U369">
        <f>($P$3*EXP(-$Q$3*T369)*SIN(2*PI()*T369/$R$3)+$S$3)</f>
        <v>0.54680390805919199</v>
      </c>
      <c r="W369">
        <f t="shared" si="15"/>
        <v>3.6699999999999657</v>
      </c>
      <c r="X369">
        <v>1.816029072458305</v>
      </c>
      <c r="Y369">
        <v>234</v>
      </c>
    </row>
    <row r="370" spans="20:25" x14ac:dyDescent="0.3">
      <c r="T370">
        <f t="shared" si="16"/>
        <v>3.6799999999999655</v>
      </c>
      <c r="U370">
        <f>($P$3*EXP(-$Q$3*T370)*SIN(2*PI()*T370/$R$3)+$S$3)</f>
        <v>0.47913127409834749</v>
      </c>
      <c r="W370">
        <f t="shared" si="15"/>
        <v>3.6799999999999655</v>
      </c>
      <c r="X370">
        <v>1.8086241444732509</v>
      </c>
      <c r="Y370">
        <v>233</v>
      </c>
    </row>
    <row r="371" spans="20:25" x14ac:dyDescent="0.3">
      <c r="T371">
        <f t="shared" si="16"/>
        <v>3.6899999999999653</v>
      </c>
      <c r="U371">
        <f>($P$3*EXP(-$Q$3*T371)*SIN(2*PI()*T371/$R$3)+$S$3)</f>
        <v>0.41102111983268058</v>
      </c>
      <c r="W371">
        <f t="shared" si="15"/>
        <v>3.6899999999999653</v>
      </c>
      <c r="X371">
        <v>1.7979758523883684</v>
      </c>
      <c r="Y371">
        <v>232</v>
      </c>
    </row>
    <row r="372" spans="20:25" x14ac:dyDescent="0.3">
      <c r="T372">
        <f t="shared" si="16"/>
        <v>3.6999999999999651</v>
      </c>
      <c r="U372">
        <f>($P$3*EXP(-$Q$3*T372)*SIN(2*PI()*T372/$R$3)+$S$3)</f>
        <v>0.34259580410667473</v>
      </c>
      <c r="W372">
        <f t="shared" si="15"/>
        <v>3.6999999999999651</v>
      </c>
      <c r="X372">
        <v>1.7840835104931505</v>
      </c>
      <c r="Y372">
        <v>231</v>
      </c>
    </row>
    <row r="373" spans="20:25" x14ac:dyDescent="0.3">
      <c r="T373">
        <f t="shared" si="16"/>
        <v>3.7099999999999649</v>
      </c>
      <c r="U373">
        <f>($P$3*EXP(-$Q$3*T373)*SIN(2*PI()*T373/$R$3)+$S$3)</f>
        <v>0.27397750788183889</v>
      </c>
      <c r="W373">
        <f t="shared" si="15"/>
        <v>3.7099999999999649</v>
      </c>
      <c r="X373">
        <v>1.7669521664994867</v>
      </c>
      <c r="Y373">
        <v>230</v>
      </c>
    </row>
    <row r="374" spans="20:25" x14ac:dyDescent="0.3">
      <c r="T374">
        <f t="shared" si="16"/>
        <v>3.7199999999999647</v>
      </c>
      <c r="U374">
        <f>($P$3*EXP(-$Q$3*T374)*SIN(2*PI()*T374/$R$3)+$S$3)</f>
        <v>0.20528802049963921</v>
      </c>
      <c r="W374">
        <f t="shared" si="15"/>
        <v>3.7199999999999647</v>
      </c>
      <c r="X374">
        <v>1.7465926271180348</v>
      </c>
      <c r="Y374">
        <v>229</v>
      </c>
    </row>
    <row r="375" spans="20:25" x14ac:dyDescent="0.3">
      <c r="T375">
        <f t="shared" si="16"/>
        <v>3.7299999999999645</v>
      </c>
      <c r="U375">
        <f>($P$3*EXP(-$Q$3*T375)*SIN(2*PI()*T375/$R$3)+$S$3)</f>
        <v>0.13664852791149568</v>
      </c>
      <c r="W375">
        <f t="shared" si="15"/>
        <v>3.7299999999999645</v>
      </c>
      <c r="X375">
        <v>1.7230214736029168</v>
      </c>
      <c r="Y375">
        <v>228</v>
      </c>
    </row>
    <row r="376" spans="20:25" x14ac:dyDescent="0.3">
      <c r="T376">
        <f t="shared" si="16"/>
        <v>3.7399999999999642</v>
      </c>
      <c r="U376">
        <f>($P$3*EXP(-$Q$3*T376)*SIN(2*PI()*T376/$R$3)+$S$3)</f>
        <v>6.817940323635982E-2</v>
      </c>
      <c r="W376">
        <f t="shared" si="15"/>
        <v>3.7399999999999642</v>
      </c>
      <c r="X376">
        <v>1.6962610671769092</v>
      </c>
      <c r="Y376">
        <v>227</v>
      </c>
    </row>
    <row r="377" spans="20:25" x14ac:dyDescent="0.3">
      <c r="T377">
        <f t="shared" si="16"/>
        <v>3.749999999999964</v>
      </c>
      <c r="U377">
        <f>($P$3*EXP(-$Q$3*T377)*SIN(2*PI()*T377/$R$3)+$S$3)</f>
        <v>2.4609128677049127E-13</v>
      </c>
      <c r="W377">
        <f t="shared" si="15"/>
        <v>3.749999999999964</v>
      </c>
      <c r="X377">
        <v>1.6663395442665907</v>
      </c>
      <c r="Y377">
        <v>226</v>
      </c>
    </row>
    <row r="378" spans="20:25" x14ac:dyDescent="0.3">
      <c r="T378">
        <f t="shared" si="16"/>
        <v>3.7599999999999638</v>
      </c>
      <c r="U378">
        <f>($P$3*EXP(-$Q$3*T378)*SIN(2*PI()*T378/$R$3)+$S$3)</f>
        <v>-6.7771551594931284E-2</v>
      </c>
      <c r="W378">
        <f t="shared" si="15"/>
        <v>3.7599999999999638</v>
      </c>
      <c r="X378">
        <v>1.6332908014945908</v>
      </c>
      <c r="Y378">
        <v>225</v>
      </c>
    </row>
    <row r="379" spans="20:25" x14ac:dyDescent="0.3">
      <c r="T379">
        <f t="shared" si="16"/>
        <v>3.7699999999999636</v>
      </c>
      <c r="U379">
        <f>($P$3*EXP(-$Q$3*T379)*SIN(2*PI()*T379/$R$3)+$S$3)</f>
        <v>-0.13501854503308539</v>
      </c>
      <c r="W379">
        <f t="shared" si="15"/>
        <v>3.7699999999999636</v>
      </c>
      <c r="X379">
        <v>1.5971544703937921</v>
      </c>
      <c r="Y379">
        <v>224</v>
      </c>
    </row>
    <row r="380" spans="20:25" x14ac:dyDescent="0.3">
      <c r="T380">
        <f t="shared" si="16"/>
        <v>3.7799999999999634</v>
      </c>
      <c r="U380">
        <f>($P$3*EXP(-$Q$3*T380)*SIN(2*PI()*T380/$R$3)+$S$3)</f>
        <v>-0.20162589414423662</v>
      </c>
      <c r="W380">
        <f t="shared" si="15"/>
        <v>3.7799999999999634</v>
      </c>
      <c r="X380">
        <v>1.5579758818264202</v>
      </c>
      <c r="Y380">
        <v>223</v>
      </c>
    </row>
    <row r="381" spans="20:25" x14ac:dyDescent="0.3">
      <c r="T381">
        <f t="shared" si="16"/>
        <v>3.7899999999999632</v>
      </c>
      <c r="U381">
        <f>($P$3*EXP(-$Q$3*T381)*SIN(2*PI()*T381/$R$3)+$S$3)</f>
        <v>-0.26748032573964492</v>
      </c>
      <c r="W381">
        <f t="shared" si="15"/>
        <v>3.7899999999999632</v>
      </c>
      <c r="X381">
        <v>1.5158060201089285</v>
      </c>
      <c r="Y381">
        <v>222</v>
      </c>
    </row>
    <row r="382" spans="20:25" x14ac:dyDescent="0.3">
      <c r="T382">
        <f t="shared" si="16"/>
        <v>3.799999999999963</v>
      </c>
      <c r="U382">
        <f>($P$3*EXP(-$Q$3*T382)*SIN(2*PI()*T382/$R$3)+$S$3)</f>
        <v>-0.33247056790730534</v>
      </c>
      <c r="W382">
        <f t="shared" si="15"/>
        <v>3.799999999999963</v>
      </c>
      <c r="X382">
        <v>1.4707014668618954</v>
      </c>
      <c r="Y382">
        <v>221</v>
      </c>
    </row>
    <row r="383" spans="20:25" x14ac:dyDescent="0.3">
      <c r="T383">
        <f t="shared" si="16"/>
        <v>3.8099999999999627</v>
      </c>
      <c r="U383">
        <f>($P$3*EXP(-$Q$3*T383)*SIN(2*PI()*T383/$R$3)+$S$3)</f>
        <v>-0.39648753366269385</v>
      </c>
      <c r="W383">
        <f t="shared" si="15"/>
        <v>3.8099999999999627</v>
      </c>
      <c r="X383">
        <v>1.4227243346224314</v>
      </c>
      <c r="Y383">
        <v>220</v>
      </c>
    </row>
    <row r="384" spans="20:25" x14ac:dyDescent="0.3">
      <c r="T384">
        <f t="shared" si="16"/>
        <v>3.8199999999999625</v>
      </c>
      <c r="U384">
        <f>($P$3*EXP(-$Q$3*T384)*SIN(2*PI()*T384/$R$3)+$S$3)</f>
        <v>-0.45942449965963916</v>
      </c>
      <c r="W384">
        <f t="shared" si="15"/>
        <v>3.8199999999999625</v>
      </c>
      <c r="X384">
        <v>1.371942190274833</v>
      </c>
      <c r="Y384">
        <v>219</v>
      </c>
    </row>
    <row r="385" spans="20:25" x14ac:dyDescent="0.3">
      <c r="T385">
        <f t="shared" si="16"/>
        <v>3.8299999999999623</v>
      </c>
      <c r="U385">
        <f>($P$3*EXP(-$Q$3*T385)*SIN(2*PI()*T385/$R$3)+$S$3)</f>
        <v>-0.52117727967678673</v>
      </c>
      <c r="W385">
        <f t="shared" si="15"/>
        <v>3.8299999999999623</v>
      </c>
      <c r="X385">
        <v>1.3184279683737115</v>
      </c>
      <c r="Y385">
        <v>218</v>
      </c>
    </row>
    <row r="386" spans="20:25" x14ac:dyDescent="0.3">
      <c r="T386">
        <f t="shared" si="16"/>
        <v>3.8399999999999621</v>
      </c>
      <c r="U386">
        <f>($P$3*EXP(-$Q$3*T386)*SIN(2*PI()*T386/$R$3)+$S$3)</f>
        <v>-0.58164439260578937</v>
      </c>
      <c r="W386">
        <f t="shared" si="15"/>
        <v>3.8399999999999621</v>
      </c>
      <c r="X386">
        <v>1.2622598744520031</v>
      </c>
      <c r="Y386">
        <v>217</v>
      </c>
    </row>
    <row r="387" spans="20:25" x14ac:dyDescent="0.3">
      <c r="T387">
        <f t="shared" si="16"/>
        <v>3.8499999999999619</v>
      </c>
      <c r="U387">
        <f>($P$3*EXP(-$Q$3*T387)*SIN(2*PI()*T387/$R$3)+$S$3)</f>
        <v>-0.64072722467889665</v>
      </c>
      <c r="W387">
        <f t="shared" si="15"/>
        <v>3.8499999999999619</v>
      </c>
      <c r="X387">
        <v>1.2035212784246707</v>
      </c>
      <c r="Y387">
        <v>216</v>
      </c>
    </row>
    <row r="388" spans="20:25" x14ac:dyDescent="0.3">
      <c r="T388">
        <f t="shared" si="16"/>
        <v>3.8599999999999617</v>
      </c>
      <c r="U388">
        <f>($P$3*EXP(-$Q$3*T388)*SIN(2*PI()*T388/$R$3)+$S$3)</f>
        <v>-0.69833018568510175</v>
      </c>
      <c r="W388">
        <f t="shared" ref="W388:W451" si="17">W387+0.01</f>
        <v>3.8599999999999617</v>
      </c>
      <c r="X388">
        <v>1.1423005982169419</v>
      </c>
      <c r="Y388">
        <v>215</v>
      </c>
    </row>
    <row r="389" spans="20:25" x14ac:dyDescent="0.3">
      <c r="T389">
        <f t="shared" si="16"/>
        <v>3.8699999999999615</v>
      </c>
      <c r="U389">
        <f>($P$3*EXP(-$Q$3*T389)*SIN(2*PI()*T389/$R$3)+$S$3)</f>
        <v>-0.75436085893621529</v>
      </c>
      <c r="W389">
        <f t="shared" si="17"/>
        <v>3.8699999999999615</v>
      </c>
      <c r="X389">
        <v>1.0786911737641314</v>
      </c>
      <c r="Y389">
        <v>214</v>
      </c>
    </row>
    <row r="390" spans="20:25" x14ac:dyDescent="0.3">
      <c r="T390">
        <f t="shared" si="16"/>
        <v>3.8799999999999613</v>
      </c>
      <c r="U390">
        <f>($P$3*EXP(-$Q$3*T390)*SIN(2*PI()*T390/$R$3)+$S$3)</f>
        <v>-0.80873014475661975</v>
      </c>
      <c r="W390">
        <f t="shared" si="17"/>
        <v>3.8799999999999613</v>
      </c>
      <c r="X390">
        <v>1.012791131547955</v>
      </c>
      <c r="Y390">
        <v>213</v>
      </c>
    </row>
    <row r="391" spans="20:25" x14ac:dyDescent="0.3">
      <c r="T391">
        <f t="shared" si="16"/>
        <v>3.889999999999961</v>
      </c>
      <c r="U391">
        <f>($P$3*EXP(-$Q$3*T391)*SIN(2*PI()*T391/$R$3)+$S$3)</f>
        <v>-0.8613523972831626</v>
      </c>
      <c r="W391">
        <f t="shared" si="17"/>
        <v>3.889999999999961</v>
      </c>
      <c r="X391">
        <v>0.94470323985193461</v>
      </c>
      <c r="Y391">
        <v>212</v>
      </c>
    </row>
    <row r="392" spans="20:25" x14ac:dyDescent="0.3">
      <c r="T392">
        <f t="shared" si="16"/>
        <v>3.8999999999999608</v>
      </c>
      <c r="U392">
        <f>($P$3*EXP(-$Q$3*T392)*SIN(2*PI()*T392/$R$3)+$S$3)</f>
        <v>-0.91214555437468636</v>
      </c>
      <c r="W392">
        <f t="shared" si="17"/>
        <v>3.8999999999999608</v>
      </c>
      <c r="X392">
        <v>0.87453475493605048</v>
      </c>
      <c r="Y392">
        <v>211</v>
      </c>
    </row>
    <row r="393" spans="20:25" x14ac:dyDescent="0.3">
      <c r="T393">
        <f t="shared" si="16"/>
        <v>3.9099999999999606</v>
      </c>
      <c r="U393">
        <f>($P$3*EXP(-$Q$3*T393)*SIN(2*PI()*T393/$R$3)+$S$3)</f>
        <v>-0.9610312604440423</v>
      </c>
      <c r="W393">
        <f t="shared" si="17"/>
        <v>3.9099999999999606</v>
      </c>
      <c r="X393">
        <v>0.80239725834807207</v>
      </c>
      <c r="Y393">
        <v>210</v>
      </c>
    </row>
    <row r="394" spans="20:25" x14ac:dyDescent="0.3">
      <c r="T394">
        <f t="shared" si="16"/>
        <v>3.9199999999999604</v>
      </c>
      <c r="U394">
        <f>($P$3*EXP(-$Q$3*T394)*SIN(2*PI()*T394/$R$3)+$S$3)</f>
        <v>-1.0079349820390273</v>
      </c>
      <c r="W394">
        <f t="shared" si="17"/>
        <v>3.9199999999999604</v>
      </c>
      <c r="X394">
        <v>0.72840648560596699</v>
      </c>
      <c r="Y394">
        <v>209</v>
      </c>
    </row>
    <row r="395" spans="20:25" x14ac:dyDescent="0.3">
      <c r="T395">
        <f t="shared" si="16"/>
        <v>3.9299999999999602</v>
      </c>
      <c r="U395">
        <f>($P$3*EXP(-$Q$3*T395)*SIN(2*PI()*T395/$R$3)+$S$3)</f>
        <v>-1.0527861160123109</v>
      </c>
      <c r="W395">
        <f t="shared" si="17"/>
        <v>3.9299999999999602</v>
      </c>
      <c r="X395">
        <v>0.6526821465024375</v>
      </c>
      <c r="Y395">
        <v>208</v>
      </c>
    </row>
    <row r="396" spans="20:25" x14ac:dyDescent="0.3">
      <c r="T396">
        <f t="shared" si="16"/>
        <v>3.93999999999996</v>
      </c>
      <c r="U396">
        <f>($P$3*EXP(-$Q$3*T396)*SIN(2*PI()*T396/$R$3)+$S$3)</f>
        <v>-1.0955180901346522</v>
      </c>
      <c r="W396">
        <f t="shared" si="17"/>
        <v>3.93999999999996</v>
      </c>
      <c r="X396">
        <v>0.57534773729897382</v>
      </c>
      <c r="Y396">
        <v>207</v>
      </c>
    </row>
    <row r="397" spans="20:25" x14ac:dyDescent="0.3">
      <c r="T397">
        <f t="shared" si="16"/>
        <v>3.9499999999999598</v>
      </c>
      <c r="U397">
        <f>($P$3*EXP(-$Q$3*T397)*SIN(2*PI()*T397/$R$3)+$S$3)</f>
        <v>-1.1360684560195908</v>
      </c>
      <c r="W397">
        <f t="shared" si="17"/>
        <v>3.9499999999999598</v>
      </c>
      <c r="X397">
        <v>0.49653034509280625</v>
      </c>
      <c r="Y397">
        <v>206</v>
      </c>
    </row>
    <row r="398" spans="20:25" x14ac:dyDescent="0.3">
      <c r="T398">
        <f t="shared" si="16"/>
        <v>3.9599999999999596</v>
      </c>
      <c r="U398">
        <f>($P$3*EXP(-$Q$3*T398)*SIN(2*PI()*T398/$R$3)+$S$3)</f>
        <v>-1.1743789742423718</v>
      </c>
      <c r="W398">
        <f t="shared" si="17"/>
        <v>3.9599999999999596</v>
      </c>
      <c r="X398">
        <v>0.4163604446556588</v>
      </c>
      <c r="Y398">
        <v>205</v>
      </c>
    </row>
    <row r="399" spans="20:25" x14ac:dyDescent="0.3">
      <c r="T399">
        <f t="shared" si="16"/>
        <v>3.9699999999999593</v>
      </c>
      <c r="U399">
        <f>($P$3*EXP(-$Q$3*T399)*SIN(2*PI()*T399/$R$3)+$S$3)</f>
        <v>-1.2103956915500236</v>
      </c>
      <c r="W399">
        <f t="shared" si="17"/>
        <v>3.9699999999999593</v>
      </c>
      <c r="X399">
        <v>0.33497168805828909</v>
      </c>
      <c r="Y399">
        <v>204</v>
      </c>
    </row>
    <row r="400" spans="20:25" x14ac:dyDescent="0.3">
      <c r="T400">
        <f t="shared" si="16"/>
        <v>3.9799999999999591</v>
      </c>
      <c r="U400">
        <f>($P$3*EXP(-$Q$3*T400)*SIN(2*PI()*T400/$R$3)+$S$3)</f>
        <v>-1.2440690100742879</v>
      </c>
      <c r="W400">
        <f t="shared" si="17"/>
        <v>3.9799999999999591</v>
      </c>
      <c r="X400">
        <v>0.25250068740945769</v>
      </c>
      <c r="Y400">
        <v>203</v>
      </c>
    </row>
    <row r="401" spans="20:25" x14ac:dyDescent="0.3">
      <c r="T401">
        <f t="shared" si="16"/>
        <v>3.9899999999999589</v>
      </c>
      <c r="U401">
        <f>($P$3*EXP(-$Q$3*T401)*SIN(2*PI()*T401/$R$3)+$S$3)</f>
        <v>-1.2753537484734379</v>
      </c>
      <c r="W401">
        <f t="shared" si="17"/>
        <v>3.9899999999999589</v>
      </c>
      <c r="X401">
        <v>0.16908679105224236</v>
      </c>
      <c r="Y401">
        <v>202</v>
      </c>
    </row>
    <row r="402" spans="20:25" x14ac:dyDescent="0.3">
      <c r="T402">
        <f t="shared" si="16"/>
        <v>3.9999999999999587</v>
      </c>
      <c r="U402">
        <f>($P$3*EXP(-$Q$3*T402)*SIN(2*PI()*T402/$R$3)+$S$3)</f>
        <v>-1.3042091949438894</v>
      </c>
      <c r="W402">
        <f t="shared" si="17"/>
        <v>3.9999999999999587</v>
      </c>
      <c r="X402">
        <v>8.4871853574030751E-2</v>
      </c>
      <c r="Y402">
        <v>201</v>
      </c>
    </row>
    <row r="403" spans="20:25" x14ac:dyDescent="0.3">
      <c r="T403">
        <f t="shared" si="16"/>
        <v>4.0099999999999589</v>
      </c>
      <c r="U403">
        <f>($P$3*EXP(-$Q$3*T403)*SIN(2*PI()*T403/$R$3)+$S$3)</f>
        <v>-1.330599152056942</v>
      </c>
      <c r="W403">
        <f t="shared" si="17"/>
        <v>4.0099999999999589</v>
      </c>
      <c r="X403">
        <v>-1.7071622338750767E-13</v>
      </c>
      <c r="Y403">
        <v>200</v>
      </c>
    </row>
    <row r="404" spans="20:25" x14ac:dyDescent="0.3">
      <c r="T404">
        <f t="shared" si="16"/>
        <v>4.0199999999999587</v>
      </c>
      <c r="U404">
        <f>($P$3*EXP(-$Q$3*T404)*SIN(2*PI()*T404/$R$3)+$S$3)</f>
        <v>-1.3544919733908154</v>
      </c>
      <c r="W404">
        <f t="shared" si="17"/>
        <v>4.0199999999999587</v>
      </c>
      <c r="X404">
        <v>-8.5382615449160343E-2</v>
      </c>
      <c r="Y404">
        <v>199</v>
      </c>
    </row>
    <row r="405" spans="20:25" x14ac:dyDescent="0.3">
      <c r="T405">
        <f t="shared" si="16"/>
        <v>4.0299999999999585</v>
      </c>
      <c r="U405">
        <f>($P$3*EXP(-$Q$3*T405)*SIN(2*PI()*T405/$R$3)+$S$3)</f>
        <v>-1.3758605919425804</v>
      </c>
      <c r="W405">
        <f t="shared" si="17"/>
        <v>4.0299999999999585</v>
      </c>
      <c r="X405">
        <v>-0.17112805563760541</v>
      </c>
      <c r="Y405">
        <v>198</v>
      </c>
    </row>
    <row r="406" spans="20:25" x14ac:dyDescent="0.3">
      <c r="T406">
        <f t="shared" si="16"/>
        <v>4.0399999999999583</v>
      </c>
      <c r="U406">
        <f>($P$3*EXP(-$Q$3*T406)*SIN(2*PI()*T406/$R$3)+$S$3)</f>
        <v>-1.394682540319272</v>
      </c>
      <c r="W406">
        <f t="shared" si="17"/>
        <v>4.0399999999999583</v>
      </c>
      <c r="X406">
        <v>-0.25708685143362775</v>
      </c>
      <c r="Y406">
        <v>197</v>
      </c>
    </row>
    <row r="407" spans="20:25" x14ac:dyDescent="0.3">
      <c r="T407">
        <f t="shared" si="16"/>
        <v>4.0499999999999581</v>
      </c>
      <c r="U407">
        <f>($P$3*EXP(-$Q$3*T407)*SIN(2*PI()*T407/$R$3)+$S$3)</f>
        <v>-1.4109399627218357</v>
      </c>
      <c r="W407">
        <f t="shared" si="17"/>
        <v>4.0499999999999581</v>
      </c>
      <c r="X407">
        <v>-0.34310825684592361</v>
      </c>
      <c r="Y407">
        <v>196</v>
      </c>
    </row>
    <row r="408" spans="20:25" x14ac:dyDescent="0.3">
      <c r="T408">
        <f t="shared" si="16"/>
        <v>4.0599999999999579</v>
      </c>
      <c r="U408">
        <f>($P$3*EXP(-$Q$3*T408)*SIN(2*PI()*T408/$R$3)+$S$3)</f>
        <v>-1.4246196187499265</v>
      </c>
      <c r="W408">
        <f t="shared" si="17"/>
        <v>4.0599999999999579</v>
      </c>
      <c r="X408">
        <v>-0.42904050795466814</v>
      </c>
      <c r="Y408">
        <v>195</v>
      </c>
    </row>
    <row r="409" spans="20:25" x14ac:dyDescent="0.3">
      <c r="T409">
        <f t="shared" si="16"/>
        <v>4.0699999999999577</v>
      </c>
      <c r="U409">
        <f>($P$3*EXP(-$Q$3*T409)*SIN(2*PI()*T409/$R$3)+$S$3)</f>
        <v>-1.435712879069813</v>
      </c>
      <c r="W409">
        <f t="shared" si="17"/>
        <v>4.0699999999999577</v>
      </c>
      <c r="X409">
        <v>-0.51473108520094979</v>
      </c>
      <c r="Y409">
        <v>194</v>
      </c>
    </row>
    <row r="410" spans="20:25" x14ac:dyDescent="0.3">
      <c r="T410">
        <f t="shared" si="16"/>
        <v>4.0799999999999574</v>
      </c>
      <c r="U410">
        <f>($P$3*EXP(-$Q$3*T410)*SIN(2*PI()*T410/$R$3)+$S$3)</f>
        <v>-1.4442157130016824</v>
      </c>
      <c r="W410">
        <f t="shared" si="17"/>
        <v>4.0799999999999574</v>
      </c>
      <c r="X410">
        <v>-0.60002697859117404</v>
      </c>
      <c r="Y410">
        <v>193</v>
      </c>
    </row>
    <row r="411" spans="20:25" x14ac:dyDescent="0.3">
      <c r="T411">
        <f t="shared" si="16"/>
        <v>4.0899999999999572</v>
      </c>
      <c r="U411">
        <f>($P$3*EXP(-$Q$3*T411)*SIN(2*PI()*T411/$R$3)+$S$3)</f>
        <v>-1.4501286680964971</v>
      </c>
      <c r="W411">
        <f t="shared" si="17"/>
        <v>4.0899999999999572</v>
      </c>
      <c r="X411">
        <v>-0.68477495536487754</v>
      </c>
      <c r="Y411">
        <v>192</v>
      </c>
    </row>
    <row r="412" spans="20:25" x14ac:dyDescent="0.3">
      <c r="T412">
        <f t="shared" si="16"/>
        <v>4.099999999999957</v>
      </c>
      <c r="U412">
        <f>($P$3*EXP(-$Q$3*T412)*SIN(2*PI()*T412/$R$3)+$S$3)</f>
        <v>-1.4534568417862239</v>
      </c>
      <c r="W412">
        <f t="shared" si="17"/>
        <v>4.099999999999957</v>
      </c>
      <c r="X412">
        <v>-0.76882182966732271</v>
      </c>
      <c r="Y412">
        <v>191</v>
      </c>
    </row>
    <row r="413" spans="20:25" x14ac:dyDescent="0.3">
      <c r="T413">
        <f t="shared" si="16"/>
        <v>4.1099999999999568</v>
      </c>
      <c r="U413">
        <f>($P$3*EXP(-$Q$3*T413)*SIN(2*PI()*T413/$R$3)+$S$3)</f>
        <v>-1.4542098452047023</v>
      </c>
      <c r="W413">
        <f t="shared" si="17"/>
        <v>4.1099999999999568</v>
      </c>
      <c r="X413">
        <v>-0.85201473376210157</v>
      </c>
      <c r="Y413">
        <v>190</v>
      </c>
    </row>
    <row r="414" spans="20:25" x14ac:dyDescent="0.3">
      <c r="T414">
        <f t="shared" si="16"/>
        <v>4.1199999999999566</v>
      </c>
      <c r="U414">
        <f>($P$3*EXP(-$Q$3*T414)*SIN(2*PI()*T414/$R$3)+$S$3)</f>
        <v>-1.4524017592895915</v>
      </c>
      <c r="W414">
        <f t="shared" si="17"/>
        <v>4.1199999999999566</v>
      </c>
      <c r="X414">
        <v>-0.93420139031321525</v>
      </c>
      <c r="Y414">
        <v>189</v>
      </c>
    </row>
    <row r="415" spans="20:25" x14ac:dyDescent="0.3">
      <c r="T415">
        <f t="shared" si="16"/>
        <v>4.1299999999999564</v>
      </c>
      <c r="U415">
        <f>($P$3*EXP(-$Q$3*T415)*SIN(2*PI()*T415/$R$3)+$S$3)</f>
        <v>-1.4480510832887421</v>
      </c>
      <c r="W415">
        <f t="shared" si="17"/>
        <v>4.1299999999999564</v>
      </c>
      <c r="X415">
        <v>-1.015230385261592</v>
      </c>
      <c r="Y415">
        <v>188</v>
      </c>
    </row>
    <row r="416" spans="20:25" x14ac:dyDescent="0.3">
      <c r="T416">
        <f t="shared" si="16"/>
        <v>4.1399999999999562</v>
      </c>
      <c r="U416">
        <f>($P$3*EXP(-$Q$3*T416)*SIN(2*PI()*T416/$R$3)+$S$3)</f>
        <v>-1.4411806758069581</v>
      </c>
      <c r="W416">
        <f t="shared" si="17"/>
        <v>4.1399999999999562</v>
      </c>
      <c r="X416">
        <v>-1.0949514408169121</v>
      </c>
      <c r="Y416">
        <v>187</v>
      </c>
    </row>
    <row r="417" spans="20:25" x14ac:dyDescent="0.3">
      <c r="T417">
        <f t="shared" si="16"/>
        <v>4.1499999999999559</v>
      </c>
      <c r="U417">
        <f>($P$3*EXP(-$Q$3*T417)*SIN(2*PI()*T417/$R$3)+$S$3)</f>
        <v>-1.431817688541424</v>
      </c>
      <c r="W417">
        <f t="shared" si="17"/>
        <v>4.1499999999999559</v>
      </c>
      <c r="X417">
        <v>-1.1732156880827178</v>
      </c>
      <c r="Y417">
        <v>186</v>
      </c>
    </row>
    <row r="418" spans="20:25" x14ac:dyDescent="0.3">
      <c r="T418">
        <f t="shared" si="16"/>
        <v>4.1599999999999557</v>
      </c>
      <c r="U418">
        <f>($P$3*EXP(-$Q$3*T418)*SIN(2*PI()*T418/$R$3)+$S$3)</f>
        <v>-1.4199934928660189</v>
      </c>
      <c r="W418">
        <f t="shared" si="17"/>
        <v>4.1599999999999557</v>
      </c>
      <c r="X418">
        <v>-1.2498759388303391</v>
      </c>
      <c r="Y418">
        <v>185</v>
      </c>
    </row>
    <row r="419" spans="20:25" x14ac:dyDescent="0.3">
      <c r="T419">
        <f t="shared" si="16"/>
        <v>4.1699999999999555</v>
      </c>
      <c r="U419">
        <f>($P$3*EXP(-$Q$3*T419)*SIN(2*PI()*T419/$R$3)+$S$3)</f>
        <v>-1.4057435994363721</v>
      </c>
      <c r="W419">
        <f t="shared" si="17"/>
        <v>4.1699999999999555</v>
      </c>
      <c r="X419">
        <v>-1.3247869559358587</v>
      </c>
      <c r="Y419">
        <v>184</v>
      </c>
    </row>
    <row r="420" spans="20:25" x14ac:dyDescent="0.3">
      <c r="T420">
        <f t="shared" si="16"/>
        <v>4.1799999999999553</v>
      </c>
      <c r="U420">
        <f>($P$3*EXP(-$Q$3*T420)*SIN(2*PI()*T420/$R$3)+$S$3)</f>
        <v>-1.3891075709987484</v>
      </c>
      <c r="W420">
        <f t="shared" si="17"/>
        <v>4.1799999999999553</v>
      </c>
      <c r="X420">
        <v>-1.397805721993796</v>
      </c>
      <c r="Y420">
        <v>183</v>
      </c>
    </row>
    <row r="421" spans="20:25" x14ac:dyDescent="0.3">
      <c r="T421">
        <f t="shared" si="16"/>
        <v>4.1899999999999551</v>
      </c>
      <c r="U421">
        <f>($P$3*EXP(-$Q$3*T421)*SIN(2*PI()*T421/$R$3)+$S$3)</f>
        <v>-1.3701289285967098</v>
      </c>
      <c r="W421">
        <f t="shared" si="17"/>
        <v>4.1899999999999551</v>
      </c>
      <c r="X421">
        <v>-1.4687917056214512</v>
      </c>
      <c r="Y421">
        <v>182</v>
      </c>
    </row>
    <row r="422" spans="20:25" x14ac:dyDescent="0.3">
      <c r="T422">
        <f t="shared" si="16"/>
        <v>4.1999999999999549</v>
      </c>
      <c r="U422">
        <f>($P$3*EXP(-$Q$3*T422)*SIN(2*PI()*T422/$R$3)+$S$3)</f>
        <v>-1.3488550513799251</v>
      </c>
      <c r="W422">
        <f t="shared" si="17"/>
        <v>4.1999999999999549</v>
      </c>
      <c r="X422">
        <v>-1.5376071249689873</v>
      </c>
      <c r="Y422">
        <v>181</v>
      </c>
    </row>
    <row r="423" spans="20:25" x14ac:dyDescent="0.3">
      <c r="T423">
        <f t="shared" ref="T423:T486" si="18">T422+0.01</f>
        <v>4.2099999999999547</v>
      </c>
      <c r="U423">
        <f>($P$3*EXP(-$Q$3*T423)*SIN(2*PI()*T423/$R$3)+$S$3)</f>
        <v>-1.3253370702295679</v>
      </c>
      <c r="W423">
        <f t="shared" si="17"/>
        <v>4.2099999999999547</v>
      </c>
      <c r="X423">
        <v>-1.6041172079523947</v>
      </c>
      <c r="Y423">
        <v>180</v>
      </c>
    </row>
    <row r="424" spans="20:25" x14ac:dyDescent="0.3">
      <c r="T424">
        <f t="shared" si="18"/>
        <v>4.2199999999999545</v>
      </c>
      <c r="U424">
        <f>($P$3*EXP(-$Q$3*T424)*SIN(2*PI()*T424/$R$3)+$S$3)</f>
        <v>-1.2996297554242757</v>
      </c>
      <c r="W424">
        <f t="shared" si="17"/>
        <v>4.2199999999999545</v>
      </c>
      <c r="X424">
        <v>-1.6681904487293659</v>
      </c>
      <c r="Y424">
        <v>179</v>
      </c>
    </row>
    <row r="425" spans="20:25" x14ac:dyDescent="0.3">
      <c r="T425">
        <f t="shared" si="18"/>
        <v>4.2299999999999542</v>
      </c>
      <c r="U425">
        <f>($P$3*EXP(-$Q$3*T425)*SIN(2*PI()*T425/$R$3)+$S$3)</f>
        <v>-1.2717913985798428</v>
      </c>
      <c r="W425">
        <f t="shared" si="17"/>
        <v>4.2299999999999542</v>
      </c>
      <c r="X425">
        <v>-1.7296988599418692</v>
      </c>
      <c r="Y425">
        <v>178</v>
      </c>
    </row>
    <row r="426" spans="20:25" x14ac:dyDescent="0.3">
      <c r="T426">
        <f t="shared" si="18"/>
        <v>4.239999999999954</v>
      </c>
      <c r="U426">
        <f>($P$3*EXP(-$Q$3*T426)*SIN(2*PI()*T426/$R$3)+$S$3)</f>
        <v>-1.2418836891044165</v>
      </c>
      <c r="W426">
        <f t="shared" si="17"/>
        <v>4.239999999999954</v>
      </c>
      <c r="X426">
        <v>-1.788518220253787</v>
      </c>
      <c r="Y426">
        <v>177</v>
      </c>
    </row>
    <row r="427" spans="20:25" x14ac:dyDescent="0.3">
      <c r="T427">
        <f t="shared" si="18"/>
        <v>4.2499999999999538</v>
      </c>
      <c r="U427">
        <f>($P$3*EXP(-$Q$3*T427)*SIN(2*PI()*T427/$R$3)+$S$3)</f>
        <v>-1.2099715854192574</v>
      </c>
      <c r="W427">
        <f t="shared" si="17"/>
        <v>4.2499999999999538</v>
      </c>
      <c r="X427">
        <v>-1.8445283167175084</v>
      </c>
      <c r="Y427">
        <v>176</v>
      </c>
    </row>
    <row r="428" spans="20:25" x14ac:dyDescent="0.3">
      <c r="T428">
        <f t="shared" si="18"/>
        <v>4.2599999999999536</v>
      </c>
      <c r="U428">
        <f>($P$3*EXP(-$Q$3*T428)*SIN(2*PI()*T428/$R$3)+$S$3)</f>
        <v>-1.1761231812027138</v>
      </c>
      <c r="W428">
        <f t="shared" si="17"/>
        <v>4.2599999999999536</v>
      </c>
      <c r="X428">
        <v>-1.8976131815097164</v>
      </c>
      <c r="Y428">
        <v>175</v>
      </c>
    </row>
    <row r="429" spans="20:25" x14ac:dyDescent="0.3">
      <c r="T429">
        <f t="shared" si="18"/>
        <v>4.2699999999999534</v>
      </c>
      <c r="U429">
        <f>($P$3*EXP(-$Q$3*T429)*SIN(2*PI()*T429/$R$3)+$S$3)</f>
        <v>-1.1404095669224024</v>
      </c>
      <c r="W429">
        <f t="shared" si="17"/>
        <v>4.2699999999999534</v>
      </c>
      <c r="X429">
        <v>-1.9476613225837887</v>
      </c>
      <c r="Y429">
        <v>174</v>
      </c>
    </row>
    <row r="430" spans="20:25" x14ac:dyDescent="0.3">
      <c r="T430">
        <f t="shared" si="18"/>
        <v>4.2799999999999532</v>
      </c>
      <c r="U430">
        <f>($P$3*EXP(-$Q$3*T430)*SIN(2*PI()*T430/$R$3)+$S$3)</f>
        <v>-1.1029046869271435</v>
      </c>
      <c r="W430">
        <f t="shared" si="17"/>
        <v>4.2799999999999532</v>
      </c>
      <c r="X430">
        <v>-1.9945659477942073</v>
      </c>
      <c r="Y430">
        <v>173</v>
      </c>
    </row>
    <row r="431" spans="20:25" x14ac:dyDescent="0.3">
      <c r="T431">
        <f t="shared" si="18"/>
        <v>4.289999999999953</v>
      </c>
      <c r="U431">
        <f>($P$3*EXP(-$Q$3*T431)*SIN(2*PI()*T431/$R$3)+$S$3)</f>
        <v>-1.063685192376528</v>
      </c>
      <c r="W431">
        <f t="shared" si="17"/>
        <v>4.289999999999953</v>
      </c>
      <c r="X431">
        <v>-2.0382251820573685</v>
      </c>
      <c r="Y431">
        <v>172</v>
      </c>
    </row>
    <row r="432" spans="20:25" x14ac:dyDescent="0.3">
      <c r="T432">
        <f t="shared" si="18"/>
        <v>4.2999999999999527</v>
      </c>
      <c r="U432">
        <f>($P$3*EXP(-$Q$3*T432)*SIN(2*PI()*T432/$R$3)+$S$3)</f>
        <v>-1.0228302902914976</v>
      </c>
      <c r="W432">
        <f t="shared" si="17"/>
        <v>4.2999999999999527</v>
      </c>
      <c r="X432">
        <v>-2.078542277122748</v>
      </c>
      <c r="Y432">
        <v>171</v>
      </c>
    </row>
    <row r="433" spans="20:25" x14ac:dyDescent="0.3">
      <c r="T433">
        <f t="shared" si="18"/>
        <v>4.3099999999999525</v>
      </c>
      <c r="U433">
        <f>($P$3*EXP(-$Q$3*T433)*SIN(2*PI()*T433/$R$3)+$S$3)</f>
        <v>-0.98042158901458187</v>
      </c>
      <c r="W433">
        <f t="shared" si="17"/>
        <v>4.3099999999999525</v>
      </c>
      <c r="X433">
        <v>-2.1154258135389936</v>
      </c>
      <c r="Y433">
        <v>170</v>
      </c>
    </row>
    <row r="434" spans="20:25" x14ac:dyDescent="0.3">
      <c r="T434">
        <f t="shared" si="18"/>
        <v>4.3199999999999523</v>
      </c>
      <c r="U434">
        <f>($P$3*EXP(-$Q$3*T434)*SIN(2*PI()*T434/$R$3)+$S$3)</f>
        <v>-0.93654294037293784</v>
      </c>
      <c r="W434">
        <f t="shared" si="17"/>
        <v>4.3199999999999523</v>
      </c>
      <c r="X434">
        <v>-2.1487898944107093</v>
      </c>
      <c r="Y434">
        <v>169</v>
      </c>
    </row>
    <row r="435" spans="20:25" x14ac:dyDescent="0.3">
      <c r="T435">
        <f t="shared" si="18"/>
        <v>4.3299999999999521</v>
      </c>
      <c r="U435">
        <f>($P$3*EXP(-$Q$3*T435)*SIN(2*PI()*T435/$R$3)+$S$3)</f>
        <v>-0.89128027884138705</v>
      </c>
      <c r="W435">
        <f t="shared" si="17"/>
        <v>4.3299999999999521</v>
      </c>
      <c r="X435">
        <v>-2.1785543305538977</v>
      </c>
      <c r="Y435">
        <v>168</v>
      </c>
    </row>
    <row r="436" spans="20:25" x14ac:dyDescent="0.3">
      <c r="T436">
        <f t="shared" si="18"/>
        <v>4.3399999999999519</v>
      </c>
      <c r="U436">
        <f>($P$3*EXP(-$Q$3*T436)*SIN(2*PI()*T436/$R$3)+$S$3)</f>
        <v>-0.84472145800616738</v>
      </c>
      <c r="W436">
        <f t="shared" si="17"/>
        <v>4.3399999999999519</v>
      </c>
      <c r="X436">
        <v>-2.2046448166707959</v>
      </c>
      <c r="Y436">
        <v>167</v>
      </c>
    </row>
    <row r="437" spans="20:25" x14ac:dyDescent="0.3">
      <c r="T437">
        <f t="shared" si="18"/>
        <v>4.3499999999999517</v>
      </c>
      <c r="U437">
        <f>($P$3*EXP(-$Q$3*T437)*SIN(2*PI()*T437/$R$3)+$S$3)</f>
        <v>-0.79695608463307166</v>
      </c>
      <c r="W437">
        <f t="shared" si="17"/>
        <v>4.3499999999999517</v>
      </c>
      <c r="X437">
        <v>-2.2269930981784603</v>
      </c>
      <c r="Y437">
        <v>166</v>
      </c>
    </row>
    <row r="438" spans="20:25" x14ac:dyDescent="0.3">
      <c r="T438">
        <f t="shared" si="18"/>
        <v>4.3599999999999515</v>
      </c>
      <c r="U438">
        <f>($P$3*EXP(-$Q$3*T438)*SIN(2*PI()*T438/$R$3)+$S$3)</f>
        <v>-0.74807535064600561</v>
      </c>
      <c r="W438">
        <f t="shared" si="17"/>
        <v>4.3599999999999515</v>
      </c>
      <c r="X438">
        <v>-2.2455371283398304</v>
      </c>
      <c r="Y438">
        <v>165</v>
      </c>
    </row>
    <row r="439" spans="20:25" x14ac:dyDescent="0.3">
      <c r="T439">
        <f t="shared" si="18"/>
        <v>4.3699999999999513</v>
      </c>
      <c r="U439">
        <f>($P$3*EXP(-$Q$3*T439)*SIN(2*PI()*T439/$R$3)+$S$3)</f>
        <v>-0.69817186332384362</v>
      </c>
      <c r="W439">
        <f t="shared" si="17"/>
        <v>4.3699999999999513</v>
      </c>
      <c r="X439">
        <v>-2.2602212153609686</v>
      </c>
      <c r="Y439">
        <v>164</v>
      </c>
    </row>
    <row r="440" spans="20:25" x14ac:dyDescent="0.3">
      <c r="T440">
        <f t="shared" si="18"/>
        <v>4.379999999999951</v>
      </c>
      <c r="U440">
        <f>($P$3*EXP(-$Q$3*T440)*SIN(2*PI()*T440/$R$3)+$S$3)</f>
        <v>-0.6473394740247731</v>
      </c>
      <c r="W440">
        <f t="shared" si="17"/>
        <v>4.379999999999951</v>
      </c>
      <c r="X440">
        <v>-2.2709961591339454</v>
      </c>
      <c r="Y440">
        <v>163</v>
      </c>
    </row>
    <row r="441" spans="20:25" x14ac:dyDescent="0.3">
      <c r="T441">
        <f t="shared" si="18"/>
        <v>4.3899999999999508</v>
      </c>
      <c r="U441">
        <f>($P$3*EXP(-$Q$3*T441)*SIN(2*PI()*T441/$R$3)+$S$3)</f>
        <v>-0.59567310574807197</v>
      </c>
      <c r="W441">
        <f t="shared" si="17"/>
        <v>4.3899999999999508</v>
      </c>
      <c r="X441">
        <v>-2.2778193773212099</v>
      </c>
      <c r="Y441">
        <v>162</v>
      </c>
    </row>
    <row r="442" spans="20:25" x14ac:dyDescent="0.3">
      <c r="T442">
        <f t="shared" si="18"/>
        <v>4.3999999999999506</v>
      </c>
      <c r="U442">
        <f>($P$3*EXP(-$Q$3*T442)*SIN(2*PI()*T442/$R$3)+$S$3)</f>
        <v>-0.54326857984340982</v>
      </c>
      <c r="W442">
        <f t="shared" si="17"/>
        <v>4.3999999999999506</v>
      </c>
      <c r="X442">
        <v>-2.2806550204943039</v>
      </c>
      <c r="Y442">
        <v>161</v>
      </c>
    </row>
    <row r="443" spans="20:25" x14ac:dyDescent="0.3">
      <c r="T443">
        <f t="shared" si="18"/>
        <v>4.4099999999999504</v>
      </c>
      <c r="U443">
        <f>($P$3*EXP(-$Q$3*T443)*SIN(2*PI()*T443/$R$3)+$S$3)</f>
        <v>-0.49022244217741262</v>
      </c>
      <c r="W443">
        <f t="shared" si="17"/>
        <v>4.4099999999999504</v>
      </c>
      <c r="X443">
        <v>-2.2794740760574017</v>
      </c>
      <c r="Y443">
        <v>160</v>
      </c>
    </row>
    <row r="444" spans="20:25" x14ac:dyDescent="0.3">
      <c r="T444">
        <f t="shared" si="18"/>
        <v>4.4199999999999502</v>
      </c>
      <c r="U444">
        <f>($P$3*EXP(-$Q$3*T444)*SIN(2*PI()*T444/$R$3)+$S$3)</f>
        <v>-0.43663178906636063</v>
      </c>
      <c r="W444">
        <f t="shared" si="17"/>
        <v>4.4199999999999502</v>
      </c>
      <c r="X444">
        <v>-2.2742544607043884</v>
      </c>
      <c r="Y444">
        <v>159</v>
      </c>
    </row>
    <row r="445" spans="20:25" x14ac:dyDescent="0.3">
      <c r="T445">
        <f t="shared" si="18"/>
        <v>4.42999999999995</v>
      </c>
      <c r="U445">
        <f>($P$3*EXP(-$Q$3*T445)*SIN(2*PI()*T445/$R$3)+$S$3)</f>
        <v>-0.38259409328246041</v>
      </c>
      <c r="W445">
        <f t="shared" si="17"/>
        <v>4.42999999999995</v>
      </c>
      <c r="X445">
        <v>-2.2649811011769461</v>
      </c>
      <c r="Y445">
        <v>158</v>
      </c>
    </row>
    <row r="446" spans="20:25" x14ac:dyDescent="0.3">
      <c r="T446">
        <f t="shared" si="18"/>
        <v>4.4399999999999498</v>
      </c>
      <c r="U446">
        <f>($P$3*EXP(-$Q$3*T446)*SIN(2*PI()*T446/$R$3)+$S$3)</f>
        <v>-0.32820703043912031</v>
      </c>
      <c r="W446">
        <f t="shared" si="17"/>
        <v>4.4399999999999498</v>
      </c>
      <c r="X446">
        <v>-2.2516460031104089</v>
      </c>
      <c r="Y446">
        <v>157</v>
      </c>
    </row>
    <row r="447" spans="20:25" x14ac:dyDescent="0.3">
      <c r="T447">
        <f t="shared" si="18"/>
        <v>4.4499999999999496</v>
      </c>
      <c r="U447">
        <f>($P$3*EXP(-$Q$3*T447)*SIN(2*PI()*T447/$R$3)+$S$3)</f>
        <v>-0.27356830605817389</v>
      </c>
      <c r="W447">
        <f t="shared" si="17"/>
        <v>4.4499999999999496</v>
      </c>
      <c r="X447">
        <v>-2.2342483077739304</v>
      </c>
      <c r="Y447">
        <v>156</v>
      </c>
    </row>
    <row r="448" spans="20:25" x14ac:dyDescent="0.3">
      <c r="T448">
        <f t="shared" si="18"/>
        <v>4.4599999999999493</v>
      </c>
      <c r="U448">
        <f>($P$3*EXP(-$Q$3*T448)*SIN(2*PI()*T448/$R$3)+$S$3)</f>
        <v>-0.21877548361900956</v>
      </c>
      <c r="W448">
        <f t="shared" si="17"/>
        <v>4.4599999999999493</v>
      </c>
      <c r="X448">
        <v>-2.2127943365317746</v>
      </c>
      <c r="Y448">
        <v>155</v>
      </c>
    </row>
    <row r="449" spans="20:25" x14ac:dyDescent="0.3">
      <c r="T449">
        <f t="shared" si="18"/>
        <v>4.4699999999999491</v>
      </c>
      <c r="U449">
        <f>($P$3*EXP(-$Q$3*T449)*SIN(2*PI()*T449/$R$3)+$S$3)</f>
        <v>-0.16392581388605562</v>
      </c>
      <c r="W449">
        <f t="shared" si="17"/>
        <v>4.4699999999999491</v>
      </c>
      <c r="X449">
        <v>-2.1872976228731855</v>
      </c>
      <c r="Y449">
        <v>154</v>
      </c>
    </row>
    <row r="450" spans="20:25" x14ac:dyDescent="0.3">
      <c r="T450">
        <f t="shared" si="18"/>
        <v>4.4799999999999489</v>
      </c>
      <c r="U450">
        <f>($P$3*EXP(-$Q$3*T450)*SIN(2*PI()*T450/$R$3)+$S$3)</f>
        <v>-0.10911606580700881</v>
      </c>
      <c r="W450">
        <f t="shared" si="17"/>
        <v>4.4799999999999489</v>
      </c>
      <c r="X450">
        <v>-2.1577789318793625</v>
      </c>
      <c r="Y450">
        <v>153</v>
      </c>
    </row>
    <row r="451" spans="20:25" x14ac:dyDescent="0.3">
      <c r="T451">
        <f t="shared" si="18"/>
        <v>4.4899999999999487</v>
      </c>
      <c r="U451">
        <f>($P$3*EXP(-$Q$3*T451)*SIN(2*PI()*T451/$R$3)+$S$3)</f>
        <v>-5.4442359269652359E-2</v>
      </c>
      <c r="W451">
        <f t="shared" si="17"/>
        <v>4.4899999999999487</v>
      </c>
      <c r="X451">
        <v>-2.1242662670175547</v>
      </c>
      <c r="Y451">
        <v>152</v>
      </c>
    </row>
    <row r="452" spans="20:25" x14ac:dyDescent="0.3">
      <c r="T452">
        <f t="shared" si="18"/>
        <v>4.4999999999999485</v>
      </c>
      <c r="U452">
        <f>($P$3*EXP(-$Q$3*T452)*SIN(2*PI()*T452/$R$3)+$S$3)</f>
        <v>-2.8185978154254769E-13</v>
      </c>
      <c r="W452">
        <f t="shared" ref="W452:W515" si="19">W451+0.01</f>
        <v>4.4999999999999485</v>
      </c>
      <c r="X452">
        <v>-2.086794864173914</v>
      </c>
      <c r="Y452">
        <v>151</v>
      </c>
    </row>
    <row r="453" spans="20:25" x14ac:dyDescent="0.3">
      <c r="T453">
        <f t="shared" si="18"/>
        <v>4.5099999999999483</v>
      </c>
      <c r="U453">
        <f>($P$3*EXP(-$Q$3*T453)*SIN(2*PI()*T453/$R$3)+$S$3)</f>
        <v>5.4116683118955788E-2</v>
      </c>
      <c r="W453">
        <f t="shared" si="19"/>
        <v>4.5099999999999483</v>
      </c>
      <c r="X453">
        <v>-2.0454071728589627</v>
      </c>
      <c r="Y453">
        <v>150</v>
      </c>
    </row>
    <row r="454" spans="20:25" x14ac:dyDescent="0.3">
      <c r="T454">
        <f t="shared" si="18"/>
        <v>4.5199999999999481</v>
      </c>
      <c r="U454">
        <f>($P$3*EXP(-$Q$3*T454)*SIN(2*PI()*T454/$R$3)+$S$3)</f>
        <v>0.10781449804212796</v>
      </c>
      <c r="W454">
        <f t="shared" si="19"/>
        <v>4.5199999999999481</v>
      </c>
      <c r="X454">
        <v>-2.0001528245416087</v>
      </c>
      <c r="Y454">
        <v>149</v>
      </c>
    </row>
    <row r="455" spans="20:25" x14ac:dyDescent="0.3">
      <c r="T455">
        <f t="shared" si="18"/>
        <v>4.5299999999999478</v>
      </c>
      <c r="U455">
        <f>($P$3*EXP(-$Q$3*T455)*SIN(2*PI()*T455/$R$3)+$S$3)</f>
        <v>0.16100154659595339</v>
      </c>
      <c r="W455">
        <f t="shared" si="19"/>
        <v>4.5299999999999478</v>
      </c>
      <c r="X455">
        <v>-1.9510885880903599</v>
      </c>
      <c r="Y455">
        <v>148</v>
      </c>
    </row>
    <row r="456" spans="20:25" x14ac:dyDescent="0.3">
      <c r="T456">
        <f t="shared" si="18"/>
        <v>4.5399999999999476</v>
      </c>
      <c r="U456">
        <f>($P$3*EXP(-$Q$3*T456)*SIN(2*PI()*T456/$R$3)+$S$3)</f>
        <v>0.21358737830206556</v>
      </c>
      <c r="W456">
        <f t="shared" si="19"/>
        <v>4.5399999999999476</v>
      </c>
      <c r="X456">
        <v>-1.8982783123228786</v>
      </c>
      <c r="Y456">
        <v>147</v>
      </c>
    </row>
    <row r="457" spans="20:25" x14ac:dyDescent="0.3">
      <c r="T457">
        <f t="shared" si="18"/>
        <v>4.5499999999999474</v>
      </c>
      <c r="U457">
        <f>($P$3*EXP(-$Q$3*T457)*SIN(2*PI()*T457/$R$3)+$S$3)</f>
        <v>0.26548314073404755</v>
      </c>
      <c r="W457">
        <f t="shared" si="19"/>
        <v>4.5499999999999474</v>
      </c>
      <c r="X457">
        <v>-1.8417928556879426</v>
      </c>
      <c r="Y457">
        <v>146</v>
      </c>
    </row>
    <row r="458" spans="20:25" x14ac:dyDescent="0.3">
      <c r="T458">
        <f t="shared" si="18"/>
        <v>4.5599999999999472</v>
      </c>
      <c r="U458">
        <f>($P$3*EXP(-$Q$3*T458)*SIN(2*PI()*T458/$R$3)+$S$3)</f>
        <v>0.31660172616548576</v>
      </c>
      <c r="W458">
        <f t="shared" si="19"/>
        <v>4.5599999999999472</v>
      </c>
      <c r="X458">
        <v>-1.7817100031267261</v>
      </c>
      <c r="Y458">
        <v>145</v>
      </c>
    </row>
    <row r="459" spans="20:25" x14ac:dyDescent="0.3">
      <c r="T459">
        <f t="shared" si="18"/>
        <v>4.569999999999947</v>
      </c>
      <c r="U459">
        <f>($P$3*EXP(-$Q$3*T459)*SIN(2*PI()*T459/$R$3)+$S$3)</f>
        <v>0.36685791427355763</v>
      </c>
      <c r="W459">
        <f t="shared" si="19"/>
        <v>4.569999999999947</v>
      </c>
      <c r="X459">
        <v>-1.7181143701833002</v>
      </c>
      <c r="Y459">
        <v>144</v>
      </c>
    </row>
    <row r="460" spans="20:25" x14ac:dyDescent="0.3">
      <c r="T460">
        <f t="shared" si="18"/>
        <v>4.5799999999999468</v>
      </c>
      <c r="U460">
        <f>($P$3*EXP(-$Q$3*T460)*SIN(2*PI()*T460/$R$3)+$S$3)</f>
        <v>0.41616851067072735</v>
      </c>
      <c r="W460">
        <f t="shared" si="19"/>
        <v>4.5799999999999468</v>
      </c>
      <c r="X460">
        <v>-1.6510972944571958</v>
      </c>
      <c r="Y460">
        <v>143</v>
      </c>
    </row>
    <row r="461" spans="20:25" x14ac:dyDescent="0.3">
      <c r="T461">
        <f t="shared" si="18"/>
        <v>4.5899999999999466</v>
      </c>
      <c r="U461">
        <f>($P$3*EXP(-$Q$3*T461)*SIN(2*PI()*T461/$R$3)+$S$3)</f>
        <v>0.46445248104609232</v>
      </c>
      <c r="W461">
        <f t="shared" si="19"/>
        <v>4.5899999999999466</v>
      </c>
      <c r="X461">
        <v>-1.5807567145138504</v>
      </c>
      <c r="Y461">
        <v>142</v>
      </c>
    </row>
    <row r="462" spans="20:25" x14ac:dyDescent="0.3">
      <c r="T462">
        <f t="shared" si="18"/>
        <v>4.5999999999999464</v>
      </c>
      <c r="U462">
        <f>($P$3*EXP(-$Q$3*T462)*SIN(2*PI()*T462/$R$3)+$S$3)</f>
        <v>0.51163108070671104</v>
      </c>
      <c r="W462">
        <f t="shared" si="19"/>
        <v>4.5999999999999464</v>
      </c>
      <c r="X462">
        <v>-1.5071970363916101</v>
      </c>
      <c r="Y462">
        <v>141</v>
      </c>
    </row>
    <row r="463" spans="20:25" x14ac:dyDescent="0.3">
      <c r="T463">
        <f t="shared" si="18"/>
        <v>4.6099999999999461</v>
      </c>
      <c r="U463">
        <f>($P$3*EXP(-$Q$3*T463)*SIN(2*PI()*T463/$R$3)+$S$3)</f>
        <v>0.55762797931873165</v>
      </c>
      <c r="W463">
        <f t="shared" si="19"/>
        <v>4.6099999999999461</v>
      </c>
      <c r="X463">
        <v>-1.4305289878667546</v>
      </c>
      <c r="Y463">
        <v>140</v>
      </c>
    </row>
    <row r="464" spans="20:25" x14ac:dyDescent="0.3">
      <c r="T464">
        <f t="shared" si="18"/>
        <v>4.6199999999999459</v>
      </c>
      <c r="U464">
        <f>($P$3*EXP(-$Q$3*T464)*SIN(2*PI()*T464/$R$3)+$S$3)</f>
        <v>0.60236938065775136</v>
      </c>
      <c r="W464">
        <f t="shared" si="19"/>
        <v>4.6199999999999459</v>
      </c>
      <c r="X464">
        <v>-1.3508694606606149</v>
      </c>
      <c r="Y464">
        <v>139</v>
      </c>
    </row>
    <row r="465" spans="20:25" x14ac:dyDescent="0.3">
      <c r="T465">
        <f t="shared" si="18"/>
        <v>4.6299999999999457</v>
      </c>
      <c r="U465">
        <f>($P$3*EXP(-$Q$3*T465)*SIN(2*PI()*T465/$R$3)+$S$3)</f>
        <v>0.64578413718771066</v>
      </c>
      <c r="W465">
        <f t="shared" si="19"/>
        <v>4.6299999999999457</v>
      </c>
      <c r="X465">
        <v>-1.2683413407953021</v>
      </c>
      <c r="Y465">
        <v>138</v>
      </c>
    </row>
    <row r="466" spans="20:25" x14ac:dyDescent="0.3">
      <c r="T466">
        <f t="shared" si="18"/>
        <v>4.6399999999999455</v>
      </c>
      <c r="U466">
        <f>($P$3*EXP(-$Q$3*T466)*SIN(2*PI()*T466/$R$3)+$S$3)</f>
        <v>0.68780385929781251</v>
      </c>
      <c r="W466">
        <f t="shared" si="19"/>
        <v>4.6399999999999455</v>
      </c>
      <c r="X466">
        <v>-1.1830733273267688</v>
      </c>
      <c r="Y466">
        <v>137</v>
      </c>
    </row>
    <row r="467" spans="20:25" x14ac:dyDescent="0.3">
      <c r="T467">
        <f t="shared" si="18"/>
        <v>4.6499999999999453</v>
      </c>
      <c r="U467">
        <f>($P$3*EXP(-$Q$3*T467)*SIN(2*PI()*T467/$R$3)+$S$3)</f>
        <v>0.72836301903738931</v>
      </c>
      <c r="W467">
        <f t="shared" si="19"/>
        <v>4.6499999999999453</v>
      </c>
      <c r="X467">
        <v>-1.0951997397058413</v>
      </c>
      <c r="Y467">
        <v>136</v>
      </c>
    </row>
    <row r="468" spans="20:25" x14ac:dyDescent="0.3">
      <c r="T468">
        <f t="shared" si="18"/>
        <v>4.6599999999999451</v>
      </c>
      <c r="U468">
        <f>($P$3*EXP(-$Q$3*T468)*SIN(2*PI()*T468/$R$3)+$S$3)</f>
        <v>0.76739904819927618</v>
      </c>
      <c r="W468">
        <f t="shared" si="19"/>
        <v>4.6599999999999451</v>
      </c>
      <c r="X468">
        <v>-1.0048603140395063</v>
      </c>
      <c r="Y468">
        <v>135</v>
      </c>
    </row>
    <row r="469" spans="20:25" x14ac:dyDescent="0.3">
      <c r="T469">
        <f t="shared" si="18"/>
        <v>4.6699999999999449</v>
      </c>
      <c r="U469">
        <f>($P$3*EXP(-$Q$3*T469)*SIN(2*PI()*T469/$R$3)+$S$3)</f>
        <v>0.80485243061304534</v>
      </c>
      <c r="W469">
        <f t="shared" si="19"/>
        <v>4.6699999999999449</v>
      </c>
      <c r="X469">
        <v>-0.91219998854598616</v>
      </c>
      <c r="Y469">
        <v>134</v>
      </c>
    </row>
    <row r="470" spans="20:25" x14ac:dyDescent="0.3">
      <c r="T470">
        <f t="shared" si="18"/>
        <v>4.6799999999999446</v>
      </c>
      <c r="U470">
        <f>($P$3*EXP(-$Q$3*T470)*SIN(2*PI()*T470/$R$3)+$S$3)</f>
        <v>0.84066678852046806</v>
      </c>
      <c r="W470">
        <f t="shared" si="19"/>
        <v>4.6799999999999446</v>
      </c>
      <c r="X470">
        <v>-0.81736867851802375</v>
      </c>
      <c r="Y470">
        <v>133</v>
      </c>
    </row>
    <row r="471" spans="20:25" x14ac:dyDescent="0.3">
      <c r="T471">
        <f t="shared" si="18"/>
        <v>4.6899999999999444</v>
      </c>
      <c r="U471">
        <f>($P$3*EXP(-$Q$3*T471)*SIN(2*PI()*T471/$R$3)+$S$3)</f>
        <v>0.87478896291676578</v>
      </c>
      <c r="W471">
        <f t="shared" si="19"/>
        <v>4.6899999999999444</v>
      </c>
      <c r="X471">
        <v>-0.72052104112924775</v>
      </c>
      <c r="Y471">
        <v>132</v>
      </c>
    </row>
    <row r="472" spans="20:25" x14ac:dyDescent="0.3">
      <c r="T472">
        <f t="shared" si="18"/>
        <v>4.6999999999999442</v>
      </c>
      <c r="U472">
        <f>($P$3*EXP(-$Q$3*T472)*SIN(2*PI()*T472/$R$3)+$S$3)</f>
        <v>0.90716908775251925</v>
      </c>
      <c r="W472">
        <f t="shared" si="19"/>
        <v>4.6999999999999442</v>
      </c>
      <c r="X472">
        <v>-0.62181623043846779</v>
      </c>
      <c r="Y472">
        <v>131</v>
      </c>
    </row>
    <row r="473" spans="20:25" x14ac:dyDescent="0.3">
      <c r="T473">
        <f t="shared" si="18"/>
        <v>4.709999999999944</v>
      </c>
      <c r="U473">
        <f>($P$3*EXP(-$Q$3*T473)*SIN(2*PI()*T473/$R$3)+$S$3)</f>
        <v>0.93776065790248642</v>
      </c>
      <c r="W473">
        <f t="shared" si="19"/>
        <v>4.709999999999944</v>
      </c>
      <c r="X473">
        <v>-0.5214176429661902</v>
      </c>
      <c r="Y473">
        <v>130</v>
      </c>
    </row>
    <row r="474" spans="20:25" x14ac:dyDescent="0.3">
      <c r="T474">
        <f t="shared" si="18"/>
        <v>4.7199999999999438</v>
      </c>
      <c r="U474">
        <f>($P$3*EXP(-$Q$3*T474)*SIN(2*PI()*T474/$R$3)+$S$3)</f>
        <v>0.96652059081912389</v>
      </c>
      <c r="W474">
        <f t="shared" si="19"/>
        <v>4.7199999999999438</v>
      </c>
      <c r="X474">
        <v>-0.41949265423669624</v>
      </c>
      <c r="Y474">
        <v>129</v>
      </c>
    </row>
    <row r="475" spans="20:25" x14ac:dyDescent="0.3">
      <c r="T475">
        <f t="shared" si="18"/>
        <v>4.7299999999999436</v>
      </c>
      <c r="U475">
        <f>($P$3*EXP(-$Q$3*T475)*SIN(2*PI()*T475/$R$3)+$S$3)</f>
        <v>0.99340928180020249</v>
      </c>
      <c r="W475">
        <f t="shared" si="19"/>
        <v>4.7299999999999436</v>
      </c>
      <c r="X475">
        <v>-0.31621234669708825</v>
      </c>
      <c r="Y475">
        <v>128</v>
      </c>
    </row>
    <row r="476" spans="20:25" x14ac:dyDescent="0.3">
      <c r="T476">
        <f t="shared" si="18"/>
        <v>4.7399999999999434</v>
      </c>
      <c r="U476">
        <f>($P$3*EXP(-$Q$3*T476)*SIN(2*PI()*T476/$R$3)+$S$3)</f>
        <v>1.0183906528115705</v>
      </c>
      <c r="W476">
        <f t="shared" si="19"/>
        <v>4.7399999999999434</v>
      </c>
      <c r="X476">
        <v>-0.21175122944287991</v>
      </c>
      <c r="Y476">
        <v>127</v>
      </c>
    </row>
    <row r="477" spans="20:25" x14ac:dyDescent="0.3">
      <c r="T477">
        <f t="shared" si="18"/>
        <v>4.7499999999999432</v>
      </c>
      <c r="U477">
        <f>($P$3*EXP(-$Q$3*T477)*SIN(2*PI()*T477/$R$3)+$S$3)</f>
        <v>1.0414321948177701</v>
      </c>
      <c r="W477">
        <f t="shared" si="19"/>
        <v>4.7499999999999432</v>
      </c>
      <c r="X477">
        <v>-0.10628695019623936</v>
      </c>
      <c r="Y477">
        <v>126</v>
      </c>
    </row>
    <row r="478" spans="20:25" x14ac:dyDescent="0.3">
      <c r="T478">
        <f t="shared" si="18"/>
        <v>4.7599999999999429</v>
      </c>
      <c r="U478">
        <f>($P$3*EXP(-$Q$3*T478)*SIN(2*PI()*T478/$R$3)+$S$3)</f>
        <v>1.0625050035849122</v>
      </c>
      <c r="W478">
        <f t="shared" si="19"/>
        <v>4.7599999999999429</v>
      </c>
      <c r="X478">
        <v>4.1635645356205934E-14</v>
      </c>
      <c r="Y478">
        <v>125</v>
      </c>
    </row>
    <row r="479" spans="20:25" x14ac:dyDescent="0.3">
      <c r="T479">
        <f t="shared" si="18"/>
        <v>4.7699999999999427</v>
      </c>
      <c r="U479">
        <f>($P$3*EXP(-$Q$3*T479)*SIN(2*PI()*T479/$R$3)+$S$3)</f>
        <v>1.0815838089319314</v>
      </c>
      <c r="W479">
        <f t="shared" si="19"/>
        <v>4.7699999999999427</v>
      </c>
      <c r="X479">
        <v>0.10692658889468942</v>
      </c>
      <c r="Y479">
        <v>124</v>
      </c>
    </row>
    <row r="480" spans="20:25" x14ac:dyDescent="0.3">
      <c r="T480">
        <f t="shared" si="18"/>
        <v>4.7799999999999425</v>
      </c>
      <c r="U480">
        <f>($P$3*EXP(-$Q$3*T480)*SIN(2*PI()*T480/$R$3)+$S$3)</f>
        <v>1.0986469974180015</v>
      </c>
      <c r="W480">
        <f t="shared" si="19"/>
        <v>4.7799999999999425</v>
      </c>
      <c r="X480">
        <v>0.2143075514525449</v>
      </c>
      <c r="Y480">
        <v>123</v>
      </c>
    </row>
    <row r="481" spans="20:25" x14ac:dyDescent="0.3">
      <c r="T481">
        <f t="shared" si="18"/>
        <v>4.7899999999999423</v>
      </c>
      <c r="U481">
        <f>($P$3*EXP(-$Q$3*T481)*SIN(2*PI()*T481/$R$3)+$S$3)</f>
        <v>1.1136766284654447</v>
      </c>
      <c r="W481">
        <f t="shared" si="19"/>
        <v>4.7899999999999423</v>
      </c>
      <c r="X481">
        <v>0.32195570408439661</v>
      </c>
      <c r="Y481">
        <v>122</v>
      </c>
    </row>
    <row r="482" spans="20:25" x14ac:dyDescent="0.3">
      <c r="T482">
        <f t="shared" si="18"/>
        <v>4.7999999999999421</v>
      </c>
      <c r="U482">
        <f>($P$3*EXP(-$Q$3*T482)*SIN(2*PI()*T482/$R$3)+$S$3)</f>
        <v>1.1266584439291185</v>
      </c>
      <c r="W482">
        <f t="shared" si="19"/>
        <v>4.7999999999999421</v>
      </c>
      <c r="X482">
        <v>0.42968226416096894</v>
      </c>
      <c r="Y482">
        <v>121</v>
      </c>
    </row>
    <row r="483" spans="20:25" x14ac:dyDescent="0.3">
      <c r="T483">
        <f t="shared" si="18"/>
        <v>4.8099999999999419</v>
      </c>
      <c r="U483">
        <f>($P$3*EXP(-$Q$3*T483)*SIN(2*PI()*T483/$R$3)+$S$3)</f>
        <v>1.1375818711346006</v>
      </c>
      <c r="W483">
        <f t="shared" si="19"/>
        <v>4.8099999999999419</v>
      </c>
      <c r="X483">
        <v>0.53729717427795376</v>
      </c>
      <c r="Y483">
        <v>120</v>
      </c>
    </row>
    <row r="484" spans="20:25" x14ac:dyDescent="0.3">
      <c r="T484">
        <f t="shared" si="18"/>
        <v>4.8199999999999417</v>
      </c>
      <c r="U484">
        <f>($P$3*EXP(-$Q$3*T484)*SIN(2*PI()*T484/$R$3)+$S$3)</f>
        <v>1.1464400194189532</v>
      </c>
      <c r="W484">
        <f t="shared" si="19"/>
        <v>4.8199999999999417</v>
      </c>
      <c r="X484">
        <v>0.64460943072706678</v>
      </c>
      <c r="Y484">
        <v>119</v>
      </c>
    </row>
    <row r="485" spans="20:25" x14ac:dyDescent="0.3">
      <c r="T485">
        <f t="shared" si="18"/>
        <v>4.8299999999999415</v>
      </c>
      <c r="U485">
        <f>($P$3*EXP(-$Q$3*T485)*SIN(2*PI()*T485/$R$3)+$S$3)</f>
        <v>1.1532296702189717</v>
      </c>
      <c r="W485">
        <f t="shared" si="19"/>
        <v>4.8299999999999415</v>
      </c>
      <c r="X485">
        <v>0.75142741561752902</v>
      </c>
      <c r="Y485">
        <v>118</v>
      </c>
    </row>
    <row r="486" spans="20:25" x14ac:dyDescent="0.3">
      <c r="T486">
        <f t="shared" si="18"/>
        <v>4.8399999999999412</v>
      </c>
      <c r="U486">
        <f>($P$3*EXP(-$Q$3*T486)*SIN(2*PI()*T486/$R$3)+$S$3)</f>
        <v>1.1579512607629803</v>
      </c>
      <c r="W486">
        <f t="shared" si="19"/>
        <v>4.8399999999999412</v>
      </c>
      <c r="X486">
        <v>0.85755923208253548</v>
      </c>
      <c r="Y486">
        <v>117</v>
      </c>
    </row>
    <row r="487" spans="20:25" x14ac:dyDescent="0.3">
      <c r="T487">
        <f t="shared" ref="T487:T550" si="20">T486+0.01</f>
        <v>4.849999999999941</v>
      </c>
      <c r="U487">
        <f>($P$3*EXP(-$Q$3*T487)*SIN(2*PI()*T487/$R$3)+$S$3)</f>
        <v>1.160608861433079</v>
      </c>
      <c r="W487">
        <f t="shared" si="19"/>
        <v>4.849999999999941</v>
      </c>
      <c r="X487">
        <v>0.96281304199641138</v>
      </c>
      <c r="Y487">
        <v>116</v>
      </c>
    </row>
    <row r="488" spans="20:25" x14ac:dyDescent="0.3">
      <c r="T488">
        <f t="shared" si="20"/>
        <v>4.8599999999999408</v>
      </c>
      <c r="U488">
        <f>($P$3*EXP(-$Q$3*T488)*SIN(2*PI()*T488/$R$3)+$S$3)</f>
        <v>1.1612101468755185</v>
      </c>
      <c r="W488">
        <f t="shared" si="19"/>
        <v>4.8599999999999408</v>
      </c>
      <c r="X488">
        <v>1.066997405620276</v>
      </c>
      <c r="Y488">
        <v>115</v>
      </c>
    </row>
    <row r="489" spans="20:25" x14ac:dyDescent="0.3">
      <c r="T489">
        <f t="shared" si="20"/>
        <v>4.8699999999999406</v>
      </c>
      <c r="U489">
        <f>($P$3*EXP(-$Q$3*T489)*SIN(2*PI()*T489/$R$3)+$S$3)</f>
        <v>1.1597663609473954</v>
      </c>
      <c r="W489">
        <f t="shared" si="19"/>
        <v>4.8699999999999406</v>
      </c>
      <c r="X489">
        <v>1.169921622587101</v>
      </c>
      <c r="Y489">
        <v>114</v>
      </c>
    </row>
    <row r="490" spans="20:25" x14ac:dyDescent="0.3">
      <c r="T490">
        <f t="shared" si="20"/>
        <v>4.8799999999999404</v>
      </c>
      <c r="U490">
        <f>($P$3*EXP(-$Q$3*T490)*SIN(2*PI()*T490/$R$3)+$S$3)</f>
        <v>1.1562922755981531</v>
      </c>
      <c r="W490">
        <f t="shared" si="19"/>
        <v>4.8799999999999404</v>
      </c>
      <c r="X490">
        <v>1.2713960736311474</v>
      </c>
      <c r="Y490">
        <v>113</v>
      </c>
    </row>
    <row r="491" spans="20:25" x14ac:dyDescent="0.3">
      <c r="T491">
        <f t="shared" si="20"/>
        <v>4.8899999999999402</v>
      </c>
      <c r="U491">
        <f>($P$3*EXP(-$Q$3*T491)*SIN(2*PI()*T491/$R$3)+$S$3)</f>
        <v>1.1508061437944661</v>
      </c>
      <c r="W491">
        <f t="shared" si="19"/>
        <v>4.8899999999999402</v>
      </c>
      <c r="X491">
        <v>1.3712325624618709</v>
      </c>
      <c r="Y491">
        <v>112</v>
      </c>
    </row>
    <row r="492" spans="20:25" x14ac:dyDescent="0.3">
      <c r="T492">
        <f t="shared" si="20"/>
        <v>4.89999999999994</v>
      </c>
      <c r="U492">
        <f>($P$3*EXP(-$Q$3*T492)*SIN(2*PI()*T492/$R$3)+$S$3)</f>
        <v>1.1433296466069029</v>
      </c>
      <c r="W492">
        <f t="shared" si="19"/>
        <v>4.89999999999994</v>
      </c>
      <c r="X492">
        <v>1.4692446571785038</v>
      </c>
      <c r="Y492">
        <v>111</v>
      </c>
    </row>
    <row r="493" spans="20:25" x14ac:dyDescent="0.3">
      <c r="T493">
        <f t="shared" si="20"/>
        <v>4.9099999999999397</v>
      </c>
      <c r="U493">
        <f>($P$3*EXP(-$Q$3*T493)*SIN(2*PI()*T493/$R$3)+$S$3)</f>
        <v>1.1338878345863106</v>
      </c>
      <c r="W493">
        <f t="shared" si="19"/>
        <v>4.9099999999999397</v>
      </c>
      <c r="X493">
        <v>1.5652480306187171</v>
      </c>
      <c r="Y493">
        <v>110</v>
      </c>
    </row>
    <row r="494" spans="20:25" x14ac:dyDescent="0.3">
      <c r="T494">
        <f t="shared" si="20"/>
        <v>4.9199999999999395</v>
      </c>
      <c r="U494">
        <f>($P$3*EXP(-$Q$3*T494)*SIN(2*PI()*T494/$R$3)+$S$3)</f>
        <v>1.1225090635671482</v>
      </c>
      <c r="W494">
        <f t="shared" si="19"/>
        <v>4.9199999999999395</v>
      </c>
      <c r="X494">
        <v>1.6590607990329966</v>
      </c>
      <c r="Y494">
        <v>109</v>
      </c>
    </row>
    <row r="495" spans="20:25" x14ac:dyDescent="0.3">
      <c r="T495">
        <f t="shared" si="20"/>
        <v>4.9299999999999393</v>
      </c>
      <c r="U495">
        <f>($P$3*EXP(-$Q$3*T495)*SIN(2*PI()*T495/$R$3)+$S$3)</f>
        <v>1.1092249250439663</v>
      </c>
      <c r="W495">
        <f t="shared" si="19"/>
        <v>4.9299999999999393</v>
      </c>
      <c r="X495">
        <v>1.7505038584756549</v>
      </c>
      <c r="Y495">
        <v>108</v>
      </c>
    </row>
    <row r="496" spans="20:25" x14ac:dyDescent="0.3">
      <c r="T496">
        <f t="shared" si="20"/>
        <v>4.9399999999999391</v>
      </c>
      <c r="U496">
        <f>($P$3*EXP(-$Q$3*T496)*SIN(2*PI()*T496/$R$3)+$S$3)</f>
        <v>1.0940701712759062</v>
      </c>
      <c r="W496">
        <f t="shared" si="19"/>
        <v>4.9399999999999391</v>
      </c>
      <c r="X496">
        <v>1.8394012183037989</v>
      </c>
      <c r="Y496">
        <v>107</v>
      </c>
    </row>
    <row r="497" spans="20:25" x14ac:dyDescent="0.3">
      <c r="T497">
        <f t="shared" si="20"/>
        <v>4.9499999999999389</v>
      </c>
      <c r="U497">
        <f>($P$3*EXP(-$Q$3*T497)*SIN(2*PI()*T497/$R$3)+$S$3)</f>
        <v>1.0770826352824119</v>
      </c>
      <c r="W497">
        <f t="shared" si="19"/>
        <v>4.9499999999999389</v>
      </c>
      <c r="X497">
        <v>1.9255803311769923</v>
      </c>
      <c r="Y497">
        <v>106</v>
      </c>
    </row>
    <row r="498" spans="20:25" x14ac:dyDescent="0.3">
      <c r="T498">
        <f t="shared" si="20"/>
        <v>4.9599999999999387</v>
      </c>
      <c r="U498">
        <f>($P$3*EXP(-$Q$3*T498)*SIN(2*PI()*T498/$R$3)+$S$3)</f>
        <v>1.0583031459013774</v>
      </c>
      <c r="W498">
        <f t="shared" si="19"/>
        <v>4.9599999999999387</v>
      </c>
      <c r="X498">
        <v>2.0088724189529201</v>
      </c>
      <c r="Y498">
        <v>105</v>
      </c>
    </row>
    <row r="499" spans="20:25" x14ac:dyDescent="0.3">
      <c r="T499">
        <f t="shared" si="20"/>
        <v>4.9699999999999385</v>
      </c>
      <c r="U499">
        <f>($P$3*EXP(-$Q$3*T499)*SIN(2*PI()*T499/$R$3)+$S$3)</f>
        <v>1.0377754380886013</v>
      </c>
      <c r="W499">
        <f t="shared" si="19"/>
        <v>4.9699999999999385</v>
      </c>
      <c r="X499">
        <v>2.0891127938779577</v>
      </c>
      <c r="Y499">
        <v>104</v>
      </c>
    </row>
    <row r="500" spans="20:25" x14ac:dyDescent="0.3">
      <c r="T500">
        <f t="shared" si="20"/>
        <v>4.9799999999999383</v>
      </c>
      <c r="U500">
        <f>($P$3*EXP(-$Q$3*T500)*SIN(2*PI()*T500/$R$3)+$S$3)</f>
        <v>1.0155460586447114</v>
      </c>
      <c r="W500">
        <f t="shared" si="19"/>
        <v>4.9799999999999383</v>
      </c>
      <c r="X500">
        <v>2.1661411744762544</v>
      </c>
      <c r="Y500">
        <v>103</v>
      </c>
    </row>
    <row r="501" spans="20:25" x14ac:dyDescent="0.3">
      <c r="T501">
        <f t="shared" si="20"/>
        <v>4.989999999999938</v>
      </c>
      <c r="U501">
        <f>($P$3*EXP(-$Q$3*T501)*SIN(2*PI()*T501/$R$3)+$S$3)</f>
        <v>0.99166426756264414</v>
      </c>
      <c r="W501">
        <f t="shared" si="19"/>
        <v>4.989999999999938</v>
      </c>
      <c r="X501">
        <v>2.2398019955467454</v>
      </c>
      <c r="Y501">
        <v>102</v>
      </c>
    </row>
    <row r="502" spans="20:25" x14ac:dyDescent="0.3">
      <c r="T502">
        <f t="shared" si="20"/>
        <v>4.9999999999999378</v>
      </c>
      <c r="U502">
        <f>($P$3*EXP(-$Q$3*T502)*SIN(2*PI()*T502/$R$3)+$S$3)</f>
        <v>0.96618193519531648</v>
      </c>
      <c r="W502">
        <f t="shared" si="19"/>
        <v>4.9999999999999378</v>
      </c>
      <c r="X502">
        <v>2.3099447116843672</v>
      </c>
      <c r="Y502">
        <v>101</v>
      </c>
    </row>
    <row r="503" spans="20:25" x14ac:dyDescent="0.3">
      <c r="T503">
        <f t="shared" si="20"/>
        <v>5.0099999999999376</v>
      </c>
      <c r="U503">
        <f>($P$3*EXP(-$Q$3*T503)*SIN(2*PI()*T503/$R$3)+$S$3)</f>
        <v>0.93915343544928531</v>
      </c>
      <c r="W503">
        <f t="shared" si="19"/>
        <v>5.0099999999999376</v>
      </c>
      <c r="X503">
        <v>2.3764240937496286</v>
      </c>
      <c r="Y503">
        <v>100</v>
      </c>
    </row>
    <row r="504" spans="20:25" x14ac:dyDescent="0.3">
      <c r="T504">
        <f t="shared" si="20"/>
        <v>5.0199999999999374</v>
      </c>
      <c r="U504">
        <f>($P$3*EXP(-$Q$3*T504)*SIN(2*PI()*T504/$R$3)+$S$3)</f>
        <v>0.91063553521594276</v>
      </c>
      <c r="W504">
        <f t="shared" si="19"/>
        <v>5.0199999999999374</v>
      </c>
      <c r="X504">
        <v>2.439100517719873</v>
      </c>
      <c r="Y504">
        <v>99</v>
      </c>
    </row>
    <row r="505" spans="20:25" x14ac:dyDescent="0.3">
      <c r="T505">
        <f t="shared" si="20"/>
        <v>5.0299999999999372</v>
      </c>
      <c r="U505">
        <f>($P$3*EXP(-$Q$3*T505)*SIN(2*PI()*T505/$R$3)+$S$3)</f>
        <v>0.88068728025710663</v>
      </c>
      <c r="W505">
        <f t="shared" si="19"/>
        <v>5.0299999999999372</v>
      </c>
      <c r="X505">
        <v>2.497840245365353</v>
      </c>
      <c r="Y505">
        <v>98</v>
      </c>
    </row>
    <row r="506" spans="20:25" x14ac:dyDescent="0.3">
      <c r="T506">
        <f t="shared" si="20"/>
        <v>5.039999999999937</v>
      </c>
      <c r="U506">
        <f>($P$3*EXP(-$Q$3*T506)*SIN(2*PI()*T506/$R$3)+$S$3)</f>
        <v>0.84936987776689732</v>
      </c>
      <c r="W506">
        <f t="shared" si="19"/>
        <v>5.039999999999937</v>
      </c>
      <c r="X506">
        <v>2.5525156962046567</v>
      </c>
      <c r="Y506">
        <v>97</v>
      </c>
    </row>
    <row r="507" spans="20:25" x14ac:dyDescent="0.3">
      <c r="T507">
        <f t="shared" si="20"/>
        <v>5.0499999999999368</v>
      </c>
      <c r="U507">
        <f>($P$3*EXP(-$Q$3*T507)*SIN(2*PI()*T507/$R$3)+$S$3)</f>
        <v>0.81674657583617383</v>
      </c>
      <c r="W507">
        <f t="shared" si="19"/>
        <v>5.0499999999999368</v>
      </c>
      <c r="X507">
        <v>2.6030057102059092</v>
      </c>
      <c r="Y507">
        <v>96</v>
      </c>
    </row>
    <row r="508" spans="20:25" x14ac:dyDescent="0.3">
      <c r="T508">
        <f t="shared" si="20"/>
        <v>5.0599999999999365</v>
      </c>
      <c r="U508">
        <f>($P$3*EXP(-$Q$3*T508)*SIN(2*PI()*T508/$R$3)+$S$3)</f>
        <v>0.78288254005003954</v>
      </c>
      <c r="W508">
        <f t="shared" si="19"/>
        <v>5.0599999999999365</v>
      </c>
      <c r="X508">
        <v>2.6491958007134713</v>
      </c>
      <c r="Y508">
        <v>95</v>
      </c>
    </row>
    <row r="509" spans="20:25" x14ac:dyDescent="0.3">
      <c r="T509">
        <f t="shared" si="20"/>
        <v>5.0699999999999363</v>
      </c>
      <c r="U509">
        <f>($P$3*EXP(-$Q$3*T509)*SIN(2*PI()*T509/$R$3)+$S$3)</f>
        <v>0.74784472745244446</v>
      </c>
      <c r="W509">
        <f t="shared" si="19"/>
        <v>5.0699999999999363</v>
      </c>
      <c r="X509">
        <v>2.6909783970939904</v>
      </c>
      <c r="Y509">
        <v>94</v>
      </c>
    </row>
    <row r="510" spans="20:25" x14ac:dyDescent="0.3">
      <c r="T510">
        <f t="shared" si="20"/>
        <v>5.0799999999999361</v>
      </c>
      <c r="U510">
        <f>($P$3*EXP(-$Q$3*T510)*SIN(2*PI()*T510/$R$3)+$S$3)</f>
        <v>0.7117017581152868</v>
      </c>
      <c r="W510">
        <f t="shared" si="19"/>
        <v>5.0799999999999361</v>
      </c>
      <c r="X510">
        <v>2.7282530766107551</v>
      </c>
      <c r="Y510">
        <v>93</v>
      </c>
    </row>
    <row r="511" spans="20:25" x14ac:dyDescent="0.3">
      <c r="T511">
        <f t="shared" si="20"/>
        <v>5.0899999999999359</v>
      </c>
      <c r="U511">
        <f>($P$3*EXP(-$Q$3*T511)*SIN(2*PI()*T511/$R$3)+$S$3)</f>
        <v>0.67452378455205042</v>
      </c>
      <c r="W511">
        <f t="shared" si="19"/>
        <v>5.0899999999999359</v>
      </c>
      <c r="X511">
        <v>2.7609267850514421</v>
      </c>
      <c r="Y511">
        <v>92</v>
      </c>
    </row>
    <row r="512" spans="20:25" x14ac:dyDescent="0.3">
      <c r="T512">
        <f t="shared" si="20"/>
        <v>5.0999999999999357</v>
      </c>
      <c r="U512">
        <f>($P$3*EXP(-$Q$3*T512)*SIN(2*PI()*T512/$R$3)+$S$3)</f>
        <v>0.63638235921853759</v>
      </c>
      <c r="W512">
        <f t="shared" si="19"/>
        <v>5.0999999999999357</v>
      </c>
      <c r="X512">
        <v>2.7889140456513486</v>
      </c>
      <c r="Y512">
        <v>91</v>
      </c>
    </row>
    <row r="513" spans="20:25" x14ac:dyDescent="0.3">
      <c r="T513">
        <f t="shared" si="20"/>
        <v>5.1099999999999355</v>
      </c>
      <c r="U513">
        <f>($P$3*EXP(-$Q$3*T513)*SIN(2*PI()*T513/$R$3)+$S$3)</f>
        <v>0.59735030034500736</v>
      </c>
      <c r="W513">
        <f t="shared" si="19"/>
        <v>5.1099999999999355</v>
      </c>
      <c r="X513">
        <v>2.8121371558721866</v>
      </c>
      <c r="Y513">
        <v>90</v>
      </c>
    </row>
    <row r="514" spans="20:25" x14ac:dyDescent="0.3">
      <c r="T514">
        <f t="shared" si="20"/>
        <v>5.1199999999999353</v>
      </c>
      <c r="U514">
        <f>($P$3*EXP(-$Q$3*T514)*SIN(2*PI()*T514/$R$3)+$S$3)</f>
        <v>0.55750155634560916</v>
      </c>
      <c r="W514">
        <f t="shared" si="19"/>
        <v>5.1199999999999353</v>
      </c>
      <c r="X514">
        <v>2.8305263716153033</v>
      </c>
      <c r="Y514">
        <v>89</v>
      </c>
    </row>
    <row r="515" spans="20:25" x14ac:dyDescent="0.3">
      <c r="T515">
        <f t="shared" si="20"/>
        <v>5.1299999999999351</v>
      </c>
      <c r="U515">
        <f>($P$3*EXP(-$Q$3*T515)*SIN(2*PI()*T515/$R$3)+$S$3)</f>
        <v>0.51691106905200856</v>
      </c>
      <c r="W515">
        <f t="shared" si="19"/>
        <v>5.1299999999999351</v>
      </c>
      <c r="X515">
        <v>2.8440200784678984</v>
      </c>
      <c r="Y515">
        <v>88</v>
      </c>
    </row>
    <row r="516" spans="20:25" x14ac:dyDescent="0.3">
      <c r="T516">
        <f t="shared" si="20"/>
        <v>5.1399999999999348</v>
      </c>
      <c r="U516">
        <f>($P$3*EXP(-$Q$3*T516)*SIN(2*PI()*T516/$R$3)+$S$3)</f>
        <v>0.47565463601867197</v>
      </c>
      <c r="W516">
        <f t="shared" ref="W516:W579" si="21">W515+0.01</f>
        <v>5.1399999999999348</v>
      </c>
      <c r="X516">
        <v>2.8525649496013505</v>
      </c>
      <c r="Y516">
        <v>87</v>
      </c>
    </row>
    <row r="517" spans="20:25" x14ac:dyDescent="0.3">
      <c r="T517">
        <f t="shared" si="20"/>
        <v>5.1499999999999346</v>
      </c>
      <c r="U517">
        <f>($P$3*EXP(-$Q$3*T517)*SIN(2*PI()*T517/$R$3)+$S$3)</f>
        <v>0.43380877214740782</v>
      </c>
      <c r="W517">
        <f t="shared" si="21"/>
        <v>5.1499999999999346</v>
      </c>
      <c r="X517">
        <v>2.8561160899620375</v>
      </c>
      <c r="Y517">
        <v>86</v>
      </c>
    </row>
    <row r="518" spans="20:25" x14ac:dyDescent="0.3">
      <c r="T518">
        <f t="shared" si="20"/>
        <v>5.1599999999999344</v>
      </c>
      <c r="U518">
        <f>($P$3*EXP(-$Q$3*T518)*SIN(2*PI()*T518/$R$3)+$S$3)</f>
        <v>0.39145057087856361</v>
      </c>
      <c r="W518">
        <f t="shared" si="21"/>
        <v>5.1599999999999344</v>
      </c>
      <c r="X518">
        <v>2.8546371664171506</v>
      </c>
      <c r="Y518">
        <v>85</v>
      </c>
    </row>
    <row r="519" spans="20:25" x14ac:dyDescent="0.3">
      <c r="T519">
        <f t="shared" si="20"/>
        <v>5.1699999999999342</v>
      </c>
      <c r="U519">
        <f>($P$3*EXP(-$Q$3*T519)*SIN(2*PI()*T519/$R$3)+$S$3)</f>
        <v>0.34865756519548158</v>
      </c>
      <c r="W519">
        <f t="shared" si="21"/>
        <v>5.1699999999999342</v>
      </c>
      <c r="X519">
        <v>2.8481005235407948</v>
      </c>
      <c r="Y519">
        <v>84</v>
      </c>
    </row>
    <row r="520" spans="20:25" x14ac:dyDescent="0.3">
      <c r="T520">
        <f t="shared" si="20"/>
        <v>5.179999999999934</v>
      </c>
      <c r="U520">
        <f>($P$3*EXP(-$Q$3*T520)*SIN(2*PI()*T520/$R$3)+$S$3)</f>
        <v>0.30550758868764899</v>
      </c>
      <c r="W520">
        <f t="shared" si="21"/>
        <v>5.179999999999934</v>
      </c>
      <c r="X520">
        <v>2.8364872847491713</v>
      </c>
      <c r="Y520">
        <v>83</v>
      </c>
    </row>
    <row r="521" spans="20:25" x14ac:dyDescent="0.3">
      <c r="T521">
        <f t="shared" si="20"/>
        <v>5.1899999999999338</v>
      </c>
      <c r="U521">
        <f>($P$3*EXP(-$Q$3*T521)*SIN(2*PI()*T521/$R$3)+$S$3)</f>
        <v>0.26207863691656036</v>
      </c>
      <c r="W521">
        <f t="shared" si="21"/>
        <v>5.1899999999999338</v>
      </c>
      <c r="X521">
        <v>2.819787438517805</v>
      </c>
      <c r="Y521">
        <v>82</v>
      </c>
    </row>
    <row r="522" spans="20:25" x14ac:dyDescent="0.3">
      <c r="T522">
        <f t="shared" si="20"/>
        <v>5.1999999999999336</v>
      </c>
      <c r="U522">
        <f>($P$3*EXP(-$Q$3*T522)*SIN(2*PI()*T522/$R$3)+$S$3)</f>
        <v>0.21844872932605153</v>
      </c>
      <c r="W522">
        <f t="shared" si="21"/>
        <v>5.1999999999999336</v>
      </c>
      <c r="X522">
        <v>2.7979999094385533</v>
      </c>
      <c r="Y522">
        <v>81</v>
      </c>
    </row>
    <row r="523" spans="20:25" x14ac:dyDescent="0.3">
      <c r="T523">
        <f t="shared" si="20"/>
        <v>5.2099999999999334</v>
      </c>
      <c r="U523">
        <f>($P$3*EXP(-$Q$3*T523)*SIN(2*PI()*T523/$R$3)+$S$3)</f>
        <v>0.17469577193677258</v>
      </c>
      <c r="W523">
        <f t="shared" si="21"/>
        <v>5.2099999999999334</v>
      </c>
      <c r="X523">
        <v>2.7711326138994821</v>
      </c>
      <c r="Y523">
        <v>80</v>
      </c>
    </row>
    <row r="524" spans="20:25" x14ac:dyDescent="0.3">
      <c r="T524">
        <f t="shared" si="20"/>
        <v>5.2199999999999331</v>
      </c>
      <c r="U524">
        <f>($P$3*EXP(-$Q$3*T524)*SIN(2*PI()*T524/$R$3)+$S$3)</f>
        <v>0.13089742106141722</v>
      </c>
      <c r="W524">
        <f t="shared" si="21"/>
        <v>5.2199999999999331</v>
      </c>
      <c r="X524">
        <v>2.7392025001965954</v>
      </c>
      <c r="Y524">
        <v>79</v>
      </c>
    </row>
    <row r="525" spans="20:25" x14ac:dyDescent="0.3">
      <c r="T525">
        <f t="shared" si="20"/>
        <v>5.2299999999999329</v>
      </c>
      <c r="U525">
        <f>($P$3*EXP(-$Q$3*T525)*SIN(2*PI()*T525/$R$3)+$S$3)</f>
        <v>8.7130948274182607E-2</v>
      </c>
      <c r="W525">
        <f t="shared" si="21"/>
        <v>5.2299999999999329</v>
      </c>
      <c r="X525">
        <v>2.7022355729127887</v>
      </c>
      <c r="Y525">
        <v>78</v>
      </c>
    </row>
    <row r="526" spans="20:25" x14ac:dyDescent="0.3">
      <c r="T526">
        <f t="shared" si="20"/>
        <v>5.2399999999999327</v>
      </c>
      <c r="U526">
        <f>($P$3*EXP(-$Q$3*T526)*SIN(2*PI()*T526/$R$3)+$S$3)</f>
        <v>4.3473106864412664E-2</v>
      </c>
      <c r="W526">
        <f t="shared" si="21"/>
        <v>5.2399999999999327</v>
      </c>
      <c r="X526">
        <v>2.6602669014262239</v>
      </c>
      <c r="Y526">
        <v>77</v>
      </c>
    </row>
    <row r="527" spans="20:25" x14ac:dyDescent="0.3">
      <c r="T527">
        <f t="shared" si="20"/>
        <v>5.2499999999999325</v>
      </c>
      <c r="U527">
        <f>($P$3*EXP(-$Q$3*T527)*SIN(2*PI()*T527/$R$3)+$S$3)</f>
        <v>2.9506307805177055E-13</v>
      </c>
      <c r="W527">
        <f t="shared" si="21"/>
        <v>5.2499999999999325</v>
      </c>
      <c r="X527">
        <v>2.6133406124375647</v>
      </c>
      <c r="Y527">
        <v>76</v>
      </c>
    </row>
    <row r="528" spans="20:25" x14ac:dyDescent="0.3">
      <c r="T528">
        <f t="shared" si="20"/>
        <v>5.2599999999999323</v>
      </c>
      <c r="U528">
        <f>($P$3*EXP(-$Q$3*T528)*SIN(2*PI()*T528/$R$3)+$S$3)</f>
        <v>-4.3213049175874797E-2</v>
      </c>
      <c r="W528">
        <f t="shared" si="21"/>
        <v>5.2599999999999323</v>
      </c>
      <c r="X528">
        <v>2.5615098664331164</v>
      </c>
      <c r="Y528">
        <v>75</v>
      </c>
    </row>
    <row r="529" spans="20:25" x14ac:dyDescent="0.3">
      <c r="T529">
        <f t="shared" si="20"/>
        <v>5.2699999999999321</v>
      </c>
      <c r="U529">
        <f>($P$3*EXP(-$Q$3*T529)*SIN(2*PI()*T529/$R$3)+$S$3)</f>
        <v>-8.6091625303975003E-2</v>
      </c>
      <c r="W529">
        <f t="shared" si="21"/>
        <v>5.2699999999999321</v>
      </c>
      <c r="X529">
        <v>2.5048368180288367</v>
      </c>
      <c r="Y529">
        <v>74</v>
      </c>
    </row>
    <row r="530" spans="20:25" x14ac:dyDescent="0.3">
      <c r="T530">
        <f t="shared" si="20"/>
        <v>5.2799999999999319</v>
      </c>
      <c r="U530">
        <f>($P$3*EXP(-$Q$3*T530)*SIN(2*PI()*T530/$R$3)+$S$3)</f>
        <v>-0.12856234620214416</v>
      </c>
      <c r="W530">
        <f t="shared" si="21"/>
        <v>5.2799999999999319</v>
      </c>
      <c r="X530">
        <v>2.4433925601683328</v>
      </c>
      <c r="Y530">
        <v>73</v>
      </c>
    </row>
    <row r="531" spans="20:25" x14ac:dyDescent="0.3">
      <c r="T531">
        <f t="shared" si="20"/>
        <v>5.2899999999999316</v>
      </c>
      <c r="U531">
        <f>($P$3*EXP(-$Q$3*T531)*SIN(2*PI()*T531/$R$3)+$S$3)</f>
        <v>-0.17055298569643021</v>
      </c>
      <c r="W531">
        <f t="shared" si="21"/>
        <v>5.2899999999999316</v>
      </c>
      <c r="X531">
        <v>2.3772570521763638</v>
      </c>
      <c r="Y531">
        <v>72</v>
      </c>
    </row>
    <row r="532" spans="20:25" x14ac:dyDescent="0.3">
      <c r="T532">
        <f t="shared" si="20"/>
        <v>5.2999999999999314</v>
      </c>
      <c r="U532">
        <f>($P$3*EXP(-$Q$3*T532)*SIN(2*PI()*T532/$R$3)+$S$3)</f>
        <v>-0.2119925936832488</v>
      </c>
      <c r="W532">
        <f t="shared" si="21"/>
        <v>5.2999999999999314</v>
      </c>
      <c r="X532">
        <v>2.3065190316979658</v>
      </c>
      <c r="Y532">
        <v>71</v>
      </c>
    </row>
    <row r="533" spans="20:25" x14ac:dyDescent="0.3">
      <c r="T533">
        <f t="shared" si="20"/>
        <v>5.3099999999999312</v>
      </c>
      <c r="U533">
        <f>($P$3*EXP(-$Q$3*T533)*SIN(2*PI()*T533/$R$3)+$S$3)</f>
        <v>-0.25281161323029</v>
      </c>
      <c r="W533">
        <f t="shared" si="21"/>
        <v>5.3099999999999312</v>
      </c>
      <c r="X533">
        <v>2.2312759105819508</v>
      </c>
      <c r="Y533">
        <v>70</v>
      </c>
    </row>
    <row r="534" spans="20:25" x14ac:dyDescent="0.3">
      <c r="T534">
        <f t="shared" si="20"/>
        <v>5.319999999999931</v>
      </c>
      <c r="U534">
        <f>($P$3*EXP(-$Q$3*T534)*SIN(2*PI()*T534/$R$3)+$S$3)</f>
        <v>-0.29294199452760877</v>
      </c>
      <c r="W534">
        <f t="shared" si="21"/>
        <v>5.319999999999931</v>
      </c>
      <c r="X534">
        <v>2.1516336547962993</v>
      </c>
      <c r="Y534">
        <v>69</v>
      </c>
    </row>
    <row r="535" spans="20:25" x14ac:dyDescent="0.3">
      <c r="T535">
        <f t="shared" si="20"/>
        <v>5.3299999999999308</v>
      </c>
      <c r="U535">
        <f>($P$3*EXP(-$Q$3*T535)*SIN(2*PI()*T535/$R$3)+$S$3)</f>
        <v>-0.33231730550744765</v>
      </c>
      <c r="W535">
        <f t="shared" si="21"/>
        <v>5.3299999999999308</v>
      </c>
      <c r="X535">
        <v>2.0677066484917526</v>
      </c>
      <c r="Y535">
        <v>68</v>
      </c>
    </row>
    <row r="536" spans="20:25" x14ac:dyDescent="0.3">
      <c r="T536">
        <f t="shared" si="20"/>
        <v>5.3399999999999306</v>
      </c>
      <c r="U536">
        <f>($P$3*EXP(-$Q$3*T536)*SIN(2*PI()*T536/$R$3)+$S$3)</f>
        <v>-0.37087283895827533</v>
      </c>
      <c r="W536">
        <f t="shared" si="21"/>
        <v>5.3399999999999306</v>
      </c>
      <c r="X536">
        <v>1.9796175423585929</v>
      </c>
      <c r="Y536">
        <v>67</v>
      </c>
    </row>
    <row r="537" spans="20:25" x14ac:dyDescent="0.3">
      <c r="T537">
        <f t="shared" si="20"/>
        <v>5.3499999999999304</v>
      </c>
      <c r="U537">
        <f>($P$3*EXP(-$Q$3*T537)*SIN(2*PI()*T537/$R$3)+$S$3)</f>
        <v>-0.40854571596563971</v>
      </c>
      <c r="W537">
        <f t="shared" si="21"/>
        <v>5.3499999999999304</v>
      </c>
      <c r="X537">
        <v>1.8874970864503515</v>
      </c>
      <c r="Y537">
        <v>66</v>
      </c>
    </row>
    <row r="538" spans="20:25" x14ac:dyDescent="0.3">
      <c r="T538">
        <f t="shared" si="20"/>
        <v>5.3599999999999302</v>
      </c>
      <c r="U538">
        <f>($P$3*EXP(-$Q$3*T538)*SIN(2*PI()*T538/$R$3)+$S$3)</f>
        <v>-0.44527498551996725</v>
      </c>
      <c r="W538">
        <f t="shared" si="21"/>
        <v>5.3599999999999302</v>
      </c>
      <c r="X538">
        <v>1.791483947676574</v>
      </c>
      <c r="Y538">
        <v>65</v>
      </c>
    </row>
    <row r="539" spans="20:25" x14ac:dyDescent="0.3">
      <c r="T539">
        <f t="shared" si="20"/>
        <v>5.3699999999999299</v>
      </c>
      <c r="U539">
        <f>($P$3*EXP(-$Q$3*T539)*SIN(2*PI()*T539/$R$3)+$S$3)</f>
        <v>-0.48100172013919851</v>
      </c>
      <c r="W539">
        <f t="shared" si="21"/>
        <v>5.3699999999999299</v>
      </c>
      <c r="X539">
        <v>1.6917245121952242</v>
      </c>
      <c r="Y539">
        <v>64</v>
      </c>
    </row>
    <row r="540" spans="20:25" x14ac:dyDescent="0.3">
      <c r="T540">
        <f t="shared" si="20"/>
        <v>5.3799999999999297</v>
      </c>
      <c r="U540">
        <f>($P$3*EXP(-$Q$3*T540)*SIN(2*PI()*T540/$R$3)+$S$3)</f>
        <v>-0.51566910736186544</v>
      </c>
      <c r="W540">
        <f t="shared" si="21"/>
        <v>5.3799999999999297</v>
      </c>
      <c r="X540">
        <v>1.588372672963289</v>
      </c>
      <c r="Y540">
        <v>63</v>
      </c>
    </row>
    <row r="541" spans="20:25" x14ac:dyDescent="0.3">
      <c r="T541">
        <f t="shared" si="20"/>
        <v>5.3899999999999295</v>
      </c>
      <c r="U541">
        <f>($P$3*EXP(-$Q$3*T541)*SIN(2*PI()*T541/$R$3)+$S$3)</f>
        <v>-0.5492225369745426</v>
      </c>
      <c r="W541">
        <f t="shared" si="21"/>
        <v>5.3899999999999295</v>
      </c>
      <c r="X541">
        <v>1.4815896027320912</v>
      </c>
      <c r="Y541">
        <v>62</v>
      </c>
    </row>
    <row r="542" spans="20:25" x14ac:dyDescent="0.3">
      <c r="T542">
        <f t="shared" si="20"/>
        <v>5.3999999999999293</v>
      </c>
      <c r="U542">
        <f>($P$3*EXP(-$Q$3*T542)*SIN(2*PI()*T542/$R$3)+$S$3)</f>
        <v>-0.5816096838458461</v>
      </c>
      <c r="W542">
        <f t="shared" si="21"/>
        <v>5.3999999999999293</v>
      </c>
      <c r="X542">
        <v>1.3715435128011253</v>
      </c>
      <c r="Y542">
        <v>61</v>
      </c>
    </row>
    <row r="543" spans="20:25" x14ac:dyDescent="0.3">
      <c r="T543">
        <f t="shared" si="20"/>
        <v>5.4099999999999291</v>
      </c>
      <c r="U543">
        <f>($P$3*EXP(-$Q$3*T543)*SIN(2*PI()*T543/$R$3)+$S$3)</f>
        <v>-0.61278058624758158</v>
      </c>
      <c r="W543">
        <f t="shared" si="21"/>
        <v>5.4099999999999291</v>
      </c>
      <c r="X543">
        <v>1.2584093978714497</v>
      </c>
      <c r="Y543">
        <v>60</v>
      </c>
    </row>
    <row r="544" spans="20:25" x14ac:dyDescent="0.3">
      <c r="T544">
        <f t="shared" si="20"/>
        <v>5.4199999999999289</v>
      </c>
      <c r="U544">
        <f>($P$3*EXP(-$Q$3*T544)*SIN(2*PI()*T544/$R$3)+$S$3)</f>
        <v>-0.64268771955237558</v>
      </c>
      <c r="W544">
        <f t="shared" si="21"/>
        <v>5.4199999999999289</v>
      </c>
      <c r="X544">
        <v>1.142368767366182</v>
      </c>
      <c r="Y544">
        <v>59</v>
      </c>
    </row>
    <row r="545" spans="20:25" x14ac:dyDescent="0.3">
      <c r="T545">
        <f t="shared" si="20"/>
        <v>5.4299999999999287</v>
      </c>
      <c r="U545">
        <f>($P$3*EXP(-$Q$3*T545)*SIN(2*PI()*T545/$R$3)+$S$3)</f>
        <v>-0.6712860652059105</v>
      </c>
      <c r="W545">
        <f t="shared" si="21"/>
        <v>5.4299999999999287</v>
      </c>
      <c r="X545">
        <v>1.0236093636119306</v>
      </c>
      <c r="Y545">
        <v>58</v>
      </c>
    </row>
    <row r="546" spans="20:25" x14ac:dyDescent="0.3">
      <c r="T546">
        <f t="shared" si="20"/>
        <v>5.4399999999999284</v>
      </c>
      <c r="U546">
        <f>($P$3*EXP(-$Q$3*T546)*SIN(2*PI()*T546/$R$3)+$S$3)</f>
        <v>-0.69853317488069</v>
      </c>
      <c r="W546">
        <f t="shared" si="21"/>
        <v>5.4399999999999284</v>
      </c>
      <c r="X546">
        <v>0.90232486730045569</v>
      </c>
      <c r="Y546">
        <v>57</v>
      </c>
    </row>
    <row r="547" spans="20:25" x14ac:dyDescent="0.3">
      <c r="T547">
        <f t="shared" si="20"/>
        <v>5.4499999999999282</v>
      </c>
      <c r="U547">
        <f>($P$3*EXP(-$Q$3*T547)*SIN(2*PI()*T547/$R$3)+$S$3)</f>
        <v>-0.72438922972749453</v>
      </c>
      <c r="W547">
        <f t="shared" si="21"/>
        <v>5.4499999999999282</v>
      </c>
      <c r="X547">
        <v>0.77871459067496496</v>
      </c>
      <c r="Y547">
        <v>56</v>
      </c>
    </row>
    <row r="548" spans="20:25" x14ac:dyDescent="0.3">
      <c r="T548">
        <f t="shared" si="20"/>
        <v>5.459999999999928</v>
      </c>
      <c r="U548">
        <f>($P$3*EXP(-$Q$3*T548)*SIN(2*PI()*T548/$R$3)+$S$3)</f>
        <v>-0.74881709464956303</v>
      </c>
      <c r="W548">
        <f t="shared" si="21"/>
        <v>5.459999999999928</v>
      </c>
      <c r="X548">
        <v>0.65298315890986025</v>
      </c>
      <c r="Y548">
        <v>55</v>
      </c>
    </row>
    <row r="549" spans="20:25" x14ac:dyDescent="0.3">
      <c r="T549">
        <f t="shared" si="20"/>
        <v>5.4699999999999278</v>
      </c>
      <c r="U549">
        <f>($P$3*EXP(-$Q$3*T549)*SIN(2*PI()*T549/$R$3)+$S$3)</f>
        <v>-0.77178236753392981</v>
      </c>
      <c r="W549">
        <f t="shared" si="21"/>
        <v>5.4699999999999278</v>
      </c>
      <c r="X549">
        <v>0.5253401801763079</v>
      </c>
      <c r="Y549">
        <v>54</v>
      </c>
    </row>
    <row r="550" spans="20:25" x14ac:dyDescent="0.3">
      <c r="T550">
        <f t="shared" si="20"/>
        <v>5.4799999999999276</v>
      </c>
      <c r="U550">
        <f>($P$3*EXP(-$Q$3*T550)*SIN(2*PI()*T550/$R$3)+$S$3)</f>
        <v>-0.79325342338353055</v>
      </c>
      <c r="W550">
        <f t="shared" si="21"/>
        <v>5.4799999999999276</v>
      </c>
      <c r="X550">
        <v>0.39599990490918147</v>
      </c>
      <c r="Y550">
        <v>53</v>
      </c>
    </row>
    <row r="551" spans="20:25" x14ac:dyDescent="0.3">
      <c r="T551">
        <f t="shared" ref="T551:T614" si="22">T550+0.01</f>
        <v>5.4899999999999274</v>
      </c>
      <c r="U551">
        <f>($P$3*EXP(-$Q$3*T551)*SIN(2*PI()*T551/$R$3)+$S$3)</f>
        <v>-0.81320145330295768</v>
      </c>
      <c r="W551">
        <f t="shared" si="21"/>
        <v>5.4899999999999274</v>
      </c>
      <c r="X551">
        <v>0.26518087481294411</v>
      </c>
      <c r="Y551">
        <v>52</v>
      </c>
    </row>
    <row r="552" spans="20:25" x14ac:dyDescent="0.3">
      <c r="T552">
        <f t="shared" si="22"/>
        <v>5.4999999999999272</v>
      </c>
      <c r="U552">
        <f>($P$3*EXP(-$Q$3*T552)*SIN(2*PI()*T552/$R$3)+$S$3)</f>
        <v>-0.83160049830013605</v>
      </c>
      <c r="W552">
        <f t="shared" si="21"/>
        <v>5.4999999999999272</v>
      </c>
      <c r="X552">
        <v>0.1331055621655774</v>
      </c>
      <c r="Y552">
        <v>51</v>
      </c>
    </row>
    <row r="553" spans="20:25" x14ac:dyDescent="0.3">
      <c r="T553">
        <f t="shared" si="22"/>
        <v>5.509999999999927</v>
      </c>
      <c r="U553">
        <f>($P$3*EXP(-$Q$3*T553)*SIN(2*PI()*T553/$R$3)+$S$3)</f>
        <v>-0.84842747787551487</v>
      </c>
      <c r="W553">
        <f t="shared" si="21"/>
        <v>5.509999999999927</v>
      </c>
      <c r="X553">
        <v>1.3376999956827804E-14</v>
      </c>
      <c r="Y553">
        <v>50</v>
      </c>
    </row>
    <row r="554" spans="20:25" x14ac:dyDescent="0.3">
      <c r="T554">
        <f t="shared" si="22"/>
        <v>5.5199999999999267</v>
      </c>
      <c r="U554">
        <f>($P$3*EXP(-$Q$3*T554)*SIN(2*PI()*T554/$R$3)+$S$3)</f>
        <v>-0.86366221337966853</v>
      </c>
      <c r="W554">
        <f t="shared" si="21"/>
        <v>5.5199999999999267</v>
      </c>
      <c r="X554">
        <v>-0.13390659623765677</v>
      </c>
      <c r="Y554">
        <v>49</v>
      </c>
    </row>
    <row r="555" spans="20:25" x14ac:dyDescent="0.3">
      <c r="T555">
        <f t="shared" si="22"/>
        <v>5.5299999999999265</v>
      </c>
      <c r="U555">
        <f>($P$3*EXP(-$Q$3*T555)*SIN(2*PI()*T555/$R$3)+$S$3)</f>
        <v>-0.8772874461295449</v>
      </c>
      <c r="W555">
        <f t="shared" si="21"/>
        <v>5.5299999999999265</v>
      </c>
      <c r="X555">
        <v>-0.26838221493541836</v>
      </c>
      <c r="Y555">
        <v>48</v>
      </c>
    </row>
    <row r="556" spans="20:25" x14ac:dyDescent="0.3">
      <c r="T556">
        <f t="shared" si="22"/>
        <v>5.5399999999999263</v>
      </c>
      <c r="U556">
        <f>($P$3*EXP(-$Q$3*T556)*SIN(2*PI()*T556/$R$3)+$S$3)</f>
        <v>-0.88928885028290139</v>
      </c>
      <c r="W556">
        <f t="shared" si="21"/>
        <v>5.5399999999999263</v>
      </c>
      <c r="X556">
        <v>-0.40319244183237801</v>
      </c>
      <c r="Y556">
        <v>47</v>
      </c>
    </row>
    <row r="557" spans="20:25" x14ac:dyDescent="0.3">
      <c r="T557">
        <f t="shared" si="22"/>
        <v>5.5499999999999261</v>
      </c>
      <c r="U557">
        <f>($P$3*EXP(-$Q$3*T557)*SIN(2*PI()*T557/$R$3)+$S$3)</f>
        <v>-0.899655040479588</v>
      </c>
      <c r="W557">
        <f t="shared" si="21"/>
        <v>5.5499999999999261</v>
      </c>
      <c r="X557">
        <v>-0.53810086015348013</v>
      </c>
      <c r="Y557">
        <v>46</v>
      </c>
    </row>
    <row r="558" spans="20:25" x14ac:dyDescent="0.3">
      <c r="T558">
        <f t="shared" si="22"/>
        <v>5.5599999999999259</v>
      </c>
      <c r="U558">
        <f>($P$3*EXP(-$Q$3*T558)*SIN(2*PI()*T558/$R$3)+$S$3)</f>
        <v>-0.90837757426760546</v>
      </c>
      <c r="W558">
        <f t="shared" si="21"/>
        <v>5.5599999999999259</v>
      </c>
      <c r="X558">
        <v>-0.67286945669392595</v>
      </c>
      <c r="Y558">
        <v>45</v>
      </c>
    </row>
    <row r="559" spans="20:25" x14ac:dyDescent="0.3">
      <c r="T559">
        <f t="shared" si="22"/>
        <v>5.5699999999999257</v>
      </c>
      <c r="U559">
        <f>($P$3*EXP(-$Q$3*T559)*SIN(2*PI()*T559/$R$3)+$S$3)</f>
        <v>-0.91545094934083904</v>
      </c>
      <c r="W559">
        <f t="shared" si="21"/>
        <v>5.5699999999999257</v>
      </c>
      <c r="X559">
        <v>-0.80725903317095982</v>
      </c>
      <c r="Y559">
        <v>44</v>
      </c>
    </row>
    <row r="560" spans="20:25" x14ac:dyDescent="0.3">
      <c r="T560">
        <f t="shared" si="22"/>
        <v>5.5799999999999255</v>
      </c>
      <c r="U560">
        <f>($P$3*EXP(-$Q$3*T560)*SIN(2*PI()*T560/$R$3)+$S$3)</f>
        <v>-0.92087259562436929</v>
      </c>
      <c r="W560">
        <f t="shared" si="21"/>
        <v>5.5799999999999255</v>
      </c>
      <c r="X560">
        <v>-0.94102962214713126</v>
      </c>
      <c r="Y560">
        <v>43</v>
      </c>
    </row>
    <row r="561" spans="20:25" x14ac:dyDescent="0.3">
      <c r="T561">
        <f t="shared" si="22"/>
        <v>5.5899999999999253</v>
      </c>
      <c r="U561">
        <f>($P$3*EXP(-$Q$3*T561)*SIN(2*PI()*T561/$R$3)+$S$3)</f>
        <v>-0.92464286225210368</v>
      </c>
      <c r="W561">
        <f t="shared" si="21"/>
        <v>5.5899999999999253</v>
      </c>
      <c r="X561">
        <v>-1.0739409068169679</v>
      </c>
      <c r="Y561">
        <v>42</v>
      </c>
    </row>
    <row r="562" spans="20:25" x14ac:dyDescent="0.3">
      <c r="T562">
        <f t="shared" si="22"/>
        <v>5.599999999999925</v>
      </c>
      <c r="U562">
        <f>($P$3*EXP(-$Q$3*T562)*SIN(2*PI()*T562/$R$3)+$S$3)</f>
        <v>-0.92676499949016622</v>
      </c>
      <c r="W562">
        <f t="shared" si="21"/>
        <v>5.599999999999925</v>
      </c>
      <c r="X562">
        <v>-1.2057526439378554</v>
      </c>
      <c r="Y562">
        <v>41</v>
      </c>
    </row>
    <row r="563" spans="20:25" x14ac:dyDescent="0.3">
      <c r="T563">
        <f t="shared" si="22"/>
        <v>5.6099999999999248</v>
      </c>
      <c r="U563">
        <f>($P$3*EXP(-$Q$3*T563)*SIN(2*PI()*T563/$R$3)+$S$3)</f>
        <v>-0.92724513566806033</v>
      </c>
      <c r="W563">
        <f t="shared" si="21"/>
        <v>5.6099999999999248</v>
      </c>
      <c r="X563">
        <v>-1.3362250891760179</v>
      </c>
      <c r="Y563">
        <v>40</v>
      </c>
    </row>
    <row r="564" spans="20:25" x14ac:dyDescent="0.3">
      <c r="T564">
        <f t="shared" si="22"/>
        <v>5.6199999999999246</v>
      </c>
      <c r="U564">
        <f>($P$3*EXP(-$Q$3*T564)*SIN(2*PI()*T564/$R$3)+$S$3)</f>
        <v>-0.92609224918804012</v>
      </c>
      <c r="W564">
        <f t="shared" si="21"/>
        <v>5.6199999999999246</v>
      </c>
      <c r="X564">
        <v>-1.4651194241298382</v>
      </c>
      <c r="Y564">
        <v>39</v>
      </c>
    </row>
    <row r="565" spans="20:25" x14ac:dyDescent="0.3">
      <c r="T565">
        <f t="shared" si="22"/>
        <v>5.6299999999999244</v>
      </c>
      <c r="U565">
        <f>($P$3*EXP(-$Q$3*T565)*SIN(2*PI()*T565/$R$3)+$S$3)</f>
        <v>-0.92331813569131838</v>
      </c>
      <c r="W565">
        <f t="shared" si="21"/>
        <v>5.6299999999999244</v>
      </c>
      <c r="X565">
        <v>-1.5921981842854003</v>
      </c>
      <c r="Y565">
        <v>38</v>
      </c>
    </row>
    <row r="566" spans="20:25" x14ac:dyDescent="0.3">
      <c r="T566">
        <f t="shared" si="22"/>
        <v>5.6399999999999242</v>
      </c>
      <c r="U566">
        <f>($P$3*EXP(-$Q$3*T566)*SIN(2*PI()*T566/$R$3)+$S$3)</f>
        <v>-0.91893737046782531</v>
      </c>
      <c r="W566">
        <f t="shared" si="21"/>
        <v>5.6399999999999242</v>
      </c>
      <c r="X566">
        <v>-1.7172256871529514</v>
      </c>
      <c r="Y566">
        <v>37</v>
      </c>
    </row>
    <row r="567" spans="20:25" x14ac:dyDescent="0.3">
      <c r="T567">
        <f t="shared" si="22"/>
        <v>5.649999999999924</v>
      </c>
      <c r="U567">
        <f>($P$3*EXP(-$Q$3*T567)*SIN(2*PI()*T567/$R$3)+$S$3)</f>
        <v>-0.91296726620404989</v>
      </c>
      <c r="W567">
        <f t="shared" si="21"/>
        <v>5.649999999999924</v>
      </c>
      <c r="X567">
        <v>-1.8399684598281425</v>
      </c>
      <c r="Y567">
        <v>36</v>
      </c>
    </row>
    <row r="568" spans="20:25" x14ac:dyDescent="0.3">
      <c r="T568">
        <f t="shared" si="22"/>
        <v>5.6599999999999238</v>
      </c>
      <c r="U568">
        <f>($P$3*EXP(-$Q$3*T568)*SIN(2*PI()*T568/$R$3)+$S$3)</f>
        <v>-0.90542782617113204</v>
      </c>
      <c r="W568">
        <f t="shared" si="21"/>
        <v>5.6599999999999238</v>
      </c>
      <c r="X568">
        <v>-1.9601956652183778</v>
      </c>
      <c r="Y568">
        <v>35</v>
      </c>
    </row>
    <row r="569" spans="20:25" x14ac:dyDescent="0.3">
      <c r="T569">
        <f t="shared" si="22"/>
        <v>5.6699999999999235</v>
      </c>
      <c r="U569">
        <f>($P$3*EXP(-$Q$3*T569)*SIN(2*PI()*T569/$R$3)+$S$3)</f>
        <v>-0.8963416929627841</v>
      </c>
      <c r="W569">
        <f t="shared" si="21"/>
        <v>5.6699999999999235</v>
      </c>
      <c r="X569">
        <v>-2.077679526172429</v>
      </c>
      <c r="Y569">
        <v>34</v>
      </c>
    </row>
    <row r="570" spans="20:25" x14ac:dyDescent="0.3">
      <c r="T570">
        <f t="shared" si="22"/>
        <v>5.6799999999999233</v>
      </c>
      <c r="U570">
        <f>($P$3*EXP(-$Q$3*T570)*SIN(2*PI()*T570/$R$3)+$S$3)</f>
        <v>-0.885734092899779</v>
      </c>
      <c r="W570">
        <f t="shared" si="21"/>
        <v>5.6799999999999233</v>
      </c>
      <c r="X570">
        <v>-2.1921957467505546</v>
      </c>
      <c r="Y570">
        <v>33</v>
      </c>
    </row>
    <row r="571" spans="20:25" x14ac:dyDescent="0.3">
      <c r="T571">
        <f t="shared" si="22"/>
        <v>5.6899999999999231</v>
      </c>
      <c r="U571">
        <f>($P$3*EXP(-$Q$3*T571)*SIN(2*PI()*T571/$R$3)+$S$3)</f>
        <v>-0.87363277622468116</v>
      </c>
      <c r="W571">
        <f t="shared" si="21"/>
        <v>5.6899999999999231</v>
      </c>
      <c r="X571">
        <v>-2.3035239298728238</v>
      </c>
      <c r="Y571">
        <v>32</v>
      </c>
    </row>
    <row r="572" spans="20:25" x14ac:dyDescent="0.3">
      <c r="T572">
        <f t="shared" si="22"/>
        <v>5.6999999999999229</v>
      </c>
      <c r="U572">
        <f>($P$3*EXP(-$Q$3*T572)*SIN(2*PI()*T572/$R$3)+$S$3)</f>
        <v>-0.8600679532171196</v>
      </c>
      <c r="W572">
        <f t="shared" si="21"/>
        <v>5.6999999999999229</v>
      </c>
      <c r="X572">
        <v>-2.4114479905851889</v>
      </c>
      <c r="Y572">
        <v>31</v>
      </c>
    </row>
    <row r="573" spans="20:25" x14ac:dyDescent="0.3">
      <c r="T573">
        <f t="shared" si="22"/>
        <v>5.7099999999999227</v>
      </c>
      <c r="U573">
        <f>($P$3*EXP(-$Q$3*T573)*SIN(2*PI()*T573/$R$3)+$S$3)</f>
        <v>-0.84507222636634516</v>
      </c>
      <c r="W573">
        <f t="shared" si="21"/>
        <v>5.7099999999999227</v>
      </c>
      <c r="X573">
        <v>-2.5157565641860358</v>
      </c>
      <c r="Y573">
        <v>30</v>
      </c>
    </row>
    <row r="574" spans="20:25" x14ac:dyDescent="0.3">
      <c r="T574">
        <f t="shared" si="22"/>
        <v>5.7199999999999225</v>
      </c>
      <c r="U574">
        <f>($P$3*EXP(-$Q$3*T574)*SIN(2*PI()*T574/$R$3)+$S$3)</f>
        <v>-0.82868051874389337</v>
      </c>
      <c r="W574">
        <f t="shared" si="21"/>
        <v>5.7199999999999225</v>
      </c>
      <c r="X574">
        <v>-2.6162434084604125</v>
      </c>
      <c r="Y574">
        <v>29</v>
      </c>
    </row>
    <row r="575" spans="20:25" x14ac:dyDescent="0.3">
      <c r="T575">
        <f t="shared" si="22"/>
        <v>5.7299999999999223</v>
      </c>
      <c r="U575">
        <f>($P$3*EXP(-$Q$3*T575)*SIN(2*PI()*T575/$R$3)+$S$3)</f>
        <v>-0.81092999872499449</v>
      </c>
      <c r="W575">
        <f t="shared" si="21"/>
        <v>5.7299999999999223</v>
      </c>
      <c r="X575">
        <v>-2.7127077992751336</v>
      </c>
      <c r="Y575">
        <v>28</v>
      </c>
    </row>
    <row r="576" spans="20:25" x14ac:dyDescent="0.3">
      <c r="T576">
        <f t="shared" si="22"/>
        <v>5.7399999999999221</v>
      </c>
      <c r="U576">
        <f>($P$3*EXP(-$Q$3*T576)*SIN(2*PI()*T576/$R$3)+$S$3)</f>
        <v>-0.79186000121294153</v>
      </c>
      <c r="W576">
        <f t="shared" si="21"/>
        <v>5.7399999999999221</v>
      </c>
      <c r="X576">
        <v>-2.8049549187950595</v>
      </c>
      <c r="Y576">
        <v>27</v>
      </c>
    </row>
    <row r="577" spans="20:25" x14ac:dyDescent="0.3">
      <c r="T577">
        <f t="shared" si="22"/>
        <v>5.7499999999999218</v>
      </c>
      <c r="U577">
        <f>($P$3*EXP(-$Q$3*T577)*SIN(2*PI()*T577/$R$3)+$S$3)</f>
        <v>-0.77151194552581537</v>
      </c>
      <c r="W577">
        <f t="shared" si="21"/>
        <v>5.7499999999999218</v>
      </c>
      <c r="X577">
        <v>-2.8927962355895995</v>
      </c>
      <c r="Y577">
        <v>26</v>
      </c>
    </row>
    <row r="578" spans="20:25" x14ac:dyDescent="0.3">
      <c r="T578">
        <f t="shared" si="22"/>
        <v>5.7599999999999216</v>
      </c>
      <c r="U578">
        <f>($P$3*EXP(-$Q$3*T578)*SIN(2*PI()*T578/$R$3)+$S$3)</f>
        <v>-0.74992925010987965</v>
      </c>
      <c r="W578">
        <f t="shared" si="21"/>
        <v>5.7599999999999216</v>
      </c>
      <c r="X578">
        <v>-2.9760498759083296</v>
      </c>
      <c r="Y578">
        <v>25</v>
      </c>
    </row>
    <row r="579" spans="20:25" x14ac:dyDescent="0.3">
      <c r="T579">
        <f t="shared" si="22"/>
        <v>5.7699999999999214</v>
      </c>
      <c r="U579">
        <f>($P$3*EXP(-$Q$3*T579)*SIN(2*PI()*T579/$R$3)+$S$3)</f>
        <v>-0.72715724424859196</v>
      </c>
      <c r="W579">
        <f t="shared" si="21"/>
        <v>5.7699999999999214</v>
      </c>
      <c r="X579">
        <v>-3.0545409854159375</v>
      </c>
      <c r="Y579">
        <v>24</v>
      </c>
    </row>
    <row r="580" spans="20:25" x14ac:dyDescent="0.3">
      <c r="T580">
        <f t="shared" si="22"/>
        <v>5.7799999999999212</v>
      </c>
      <c r="U580">
        <f>($P$3*EXP(-$Q$3*T580)*SIN(2*PI()*T580/$R$3)+$S$3)</f>
        <v>-0.70324307694042409</v>
      </c>
      <c r="W580">
        <f t="shared" ref="W580:W643" si="23">W579+0.01</f>
        <v>5.7799999999999212</v>
      </c>
      <c r="X580">
        <v>-3.1281020806892958</v>
      </c>
      <c r="Y580">
        <v>23</v>
      </c>
    </row>
    <row r="581" spans="20:25" x14ac:dyDescent="0.3">
      <c r="T581">
        <f t="shared" si="22"/>
        <v>5.789999999999921</v>
      </c>
      <c r="U581">
        <f>($P$3*EXP(-$Q$3*T581)*SIN(2*PI()*T581/$R$3)+$S$3)</f>
        <v>-0.67823562312257624</v>
      </c>
      <c r="W581">
        <f t="shared" si="23"/>
        <v>5.789999999999921</v>
      </c>
      <c r="X581">
        <v>-3.1965733897933886</v>
      </c>
      <c r="Y581">
        <v>22</v>
      </c>
    </row>
    <row r="582" spans="20:25" x14ac:dyDescent="0.3">
      <c r="T582">
        <f t="shared" si="22"/>
        <v>5.7999999999999208</v>
      </c>
      <c r="U582">
        <f>($P$3*EXP(-$Q$3*T582)*SIN(2*PI()*T582/$R$3)+$S$3)</f>
        <v>-0.65218538742141308</v>
      </c>
      <c r="W582">
        <f t="shared" si="23"/>
        <v>5.7999999999999208</v>
      </c>
      <c r="X582">
        <v>-3.2598031812680008</v>
      </c>
      <c r="Y582">
        <v>21</v>
      </c>
    </row>
    <row r="583" spans="20:25" x14ac:dyDescent="0.3">
      <c r="T583">
        <f t="shared" si="22"/>
        <v>5.8099999999999206</v>
      </c>
      <c r="U583">
        <f>($P$3*EXP(-$Q$3*T583)*SIN(2*PI()*T583/$R$3)+$S$3)</f>
        <v>-0.62514440561353846</v>
      </c>
      <c r="W583">
        <f t="shared" si="23"/>
        <v>5.8099999999999206</v>
      </c>
      <c r="X583">
        <v>-3.3176480808735778</v>
      </c>
      <c r="Y583">
        <v>20</v>
      </c>
    </row>
    <row r="584" spans="20:25" x14ac:dyDescent="0.3">
      <c r="T584">
        <f t="shared" si="22"/>
        <v>5.8199999999999203</v>
      </c>
      <c r="U584">
        <f>($P$3*EXP(-$Q$3*T584)*SIN(2*PI()*T584/$R$3)+$S$3)</f>
        <v>-0.59716614398450873</v>
      </c>
      <c r="W584">
        <f t="shared" si="23"/>
        <v>5.8199999999999203</v>
      </c>
      <c r="X584">
        <v>-3.3699733754623775</v>
      </c>
      <c r="Y584">
        <v>19</v>
      </c>
    </row>
    <row r="585" spans="20:25" x14ac:dyDescent="0.3">
      <c r="T585">
        <f t="shared" si="22"/>
        <v>5.8299999999999201</v>
      </c>
      <c r="U585">
        <f>($P$3*EXP(-$Q$3*T585)*SIN(2*PI()*T585/$R$3)+$S$3)</f>
        <v>-0.56830539677466674</v>
      </c>
      <c r="W585">
        <f t="shared" si="23"/>
        <v>5.8299999999999201</v>
      </c>
      <c r="X585">
        <v>-3.4166533033599955</v>
      </c>
      <c r="Y585">
        <v>18</v>
      </c>
    </row>
    <row r="586" spans="20:25" x14ac:dyDescent="0.3">
      <c r="T586">
        <f t="shared" si="22"/>
        <v>5.8399999999999199</v>
      </c>
      <c r="U586">
        <f>($P$3*EXP(-$Q$3*T586)*SIN(2*PI()*T586/$R$3)+$S$3)</f>
        <v>-0.53861818190381894</v>
      </c>
      <c r="W586">
        <f t="shared" si="23"/>
        <v>5.8399999999999199</v>
      </c>
      <c r="X586">
        <v>-3.4575713306624958</v>
      </c>
      <c r="Y586">
        <v>17</v>
      </c>
    </row>
    <row r="587" spans="20:25" x14ac:dyDescent="0.3">
      <c r="T587">
        <f t="shared" si="22"/>
        <v>5.8499999999999197</v>
      </c>
      <c r="U587">
        <f>($P$3*EXP(-$Q$3*T587)*SIN(2*PI()*T587/$R$3)+$S$3)</f>
        <v>-0.50816163516840795</v>
      </c>
      <c r="W587">
        <f t="shared" si="23"/>
        <v>5.8499999999999197</v>
      </c>
      <c r="X587">
        <v>-3.4926204128757399</v>
      </c>
      <c r="Y587">
        <v>16</v>
      </c>
    </row>
    <row r="588" spans="20:25" x14ac:dyDescent="0.3">
      <c r="T588">
        <f t="shared" si="22"/>
        <v>5.8599999999999195</v>
      </c>
      <c r="U588">
        <f>($P$3*EXP(-$Q$3*T588)*SIN(2*PI()*T588/$R$3)+$S$3)</f>
        <v>-0.47699390310632428</v>
      </c>
      <c r="W588">
        <f t="shared" si="23"/>
        <v>5.8599999999999195</v>
      </c>
      <c r="X588">
        <v>-3.5217032413459228</v>
      </c>
      <c r="Y588">
        <v>15</v>
      </c>
    </row>
    <row r="589" spans="20:25" x14ac:dyDescent="0.3">
      <c r="T589">
        <f t="shared" si="22"/>
        <v>5.8699999999999193</v>
      </c>
      <c r="U589">
        <f>($P$3*EXP(-$Q$3*T589)*SIN(2*PI()*T589/$R$3)+$S$3)</f>
        <v>-0.44517403472561545</v>
      </c>
      <c r="W589">
        <f t="shared" si="23"/>
        <v>5.8699999999999193</v>
      </c>
      <c r="X589">
        <v>-3.5447324739539794</v>
      </c>
      <c r="Y589">
        <v>14</v>
      </c>
    </row>
    <row r="590" spans="20:25" x14ac:dyDescent="0.3">
      <c r="T590">
        <f t="shared" si="22"/>
        <v>5.8799999999999191</v>
      </c>
      <c r="U590">
        <f>($P$3*EXP(-$Q$3*T590)*SIN(2*PI()*T590/$R$3)+$S$3)</f>
        <v>-0.41276187229432981</v>
      </c>
      <c r="W590">
        <f t="shared" si="23"/>
        <v>5.8799999999999191</v>
      </c>
      <c r="X590">
        <v>-3.5616309495711183</v>
      </c>
      <c r="Y590">
        <v>13</v>
      </c>
    </row>
    <row r="591" spans="20:25" x14ac:dyDescent="0.3">
      <c r="T591">
        <f t="shared" si="22"/>
        <v>5.8899999999999189</v>
      </c>
      <c r="U591">
        <f>($P$3*EXP(-$Q$3*T591)*SIN(2*PI()*T591/$R$3)+$S$3)</f>
        <v>-0.37981794138905139</v>
      </c>
      <c r="W591">
        <f t="shared" si="23"/>
        <v>5.8899999999999189</v>
      </c>
      <c r="X591">
        <v>-3.5723318857984725</v>
      </c>
      <c r="Y591">
        <v>12</v>
      </c>
    </row>
    <row r="592" spans="20:25" x14ac:dyDescent="0.3">
      <c r="T592">
        <f t="shared" si="22"/>
        <v>5.8999999999999186</v>
      </c>
      <c r="U592">
        <f>($P$3*EXP(-$Q$3*T592)*SIN(2*PI()*T592/$R$3)+$S$3)</f>
        <v>-0.34640334039984771</v>
      </c>
      <c r="W592">
        <f t="shared" si="23"/>
        <v>5.8999999999999186</v>
      </c>
      <c r="X592">
        <v>-3.5767790595405464</v>
      </c>
      <c r="Y592">
        <v>11</v>
      </c>
    </row>
    <row r="593" spans="20:25" x14ac:dyDescent="0.3">
      <c r="T593">
        <f t="shared" si="22"/>
        <v>5.9099999999999184</v>
      </c>
      <c r="U593">
        <f>($P$3*EXP(-$Q$3*T593)*SIN(2*PI()*T593/$R$3)+$S$3)</f>
        <v>-0.31257962968920494</v>
      </c>
      <c r="W593">
        <f t="shared" si="23"/>
        <v>5.9099999999999184</v>
      </c>
      <c r="X593">
        <v>-3.5749269699897726</v>
      </c>
      <c r="Y593">
        <v>10</v>
      </c>
    </row>
    <row r="594" spans="20:25" x14ac:dyDescent="0.3">
      <c r="T594">
        <f t="shared" si="22"/>
        <v>5.9199999999999182</v>
      </c>
      <c r="U594">
        <f>($P$3*EXP(-$Q$3*T594)*SIN(2*PI()*T594/$R$3)+$S$3)</f>
        <v>-0.27840872060180238</v>
      </c>
      <c r="W594">
        <f t="shared" si="23"/>
        <v>5.9199999999999182</v>
      </c>
      <c r="X594">
        <v>-3.5667409836280775</v>
      </c>
      <c r="Y594">
        <v>9</v>
      </c>
    </row>
    <row r="595" spans="20:25" x14ac:dyDescent="0.3">
      <c r="T595">
        <f t="shared" si="22"/>
        <v>5.929999999999918</v>
      </c>
      <c r="U595">
        <f>($P$3*EXP(-$Q$3*T595)*SIN(2*PI()*T595/$R$3)+$S$3)</f>
        <v>-0.24395276452121234</v>
      </c>
      <c r="W595">
        <f t="shared" si="23"/>
        <v>5.929999999999918</v>
      </c>
      <c r="X595">
        <v>-3.5521974608807665</v>
      </c>
      <c r="Y595">
        <v>8</v>
      </c>
    </row>
    <row r="596" spans="20:25" x14ac:dyDescent="0.3">
      <c r="T596">
        <f t="shared" si="22"/>
        <v>5.9399999999999178</v>
      </c>
      <c r="U596">
        <f>($P$3*EXP(-$Q$3*T596)*SIN(2*PI()*T596/$R$3)+$S$3)</f>
        <v>-0.20927404216827963</v>
      </c>
      <c r="W596">
        <f t="shared" si="23"/>
        <v>5.9399999999999178</v>
      </c>
      <c r="X596">
        <v>-3.5312838640883153</v>
      </c>
      <c r="Y596">
        <v>7</v>
      </c>
    </row>
    <row r="597" spans="20:25" x14ac:dyDescent="0.3">
      <c r="T597">
        <f t="shared" si="22"/>
        <v>5.9499999999999176</v>
      </c>
      <c r="U597">
        <f>($P$3*EXP(-$Q$3*T597)*SIN(2*PI()*T597/$R$3)+$S$3)</f>
        <v>-0.17443485333428563</v>
      </c>
      <c r="W597">
        <f t="shared" si="23"/>
        <v>5.9499999999999176</v>
      </c>
      <c r="X597">
        <v>-3.503998846492677</v>
      </c>
      <c r="Y597">
        <v>6</v>
      </c>
    </row>
    <row r="598" spans="20:25" x14ac:dyDescent="0.3">
      <c r="T598">
        <f t="shared" si="22"/>
        <v>5.9599999999999174</v>
      </c>
      <c r="U598">
        <f>($P$3*EXP(-$Q$3*T598)*SIN(2*PI()*T598/$R$3)+$S$3)</f>
        <v>-0.13949740724025858</v>
      </c>
      <c r="W598">
        <f t="shared" si="23"/>
        <v>5.9599999999999174</v>
      </c>
      <c r="X598">
        <v>-3.4703523219664563</v>
      </c>
      <c r="Y598">
        <v>5</v>
      </c>
    </row>
    <row r="599" spans="20:25" x14ac:dyDescent="0.3">
      <c r="T599">
        <f t="shared" si="22"/>
        <v>5.9699999999999172</v>
      </c>
      <c r="U599">
        <f>($P$3*EXP(-$Q$3*T599)*SIN(2*PI()*T599/$R$3)+$S$3)</f>
        <v>-0.10452371371137338</v>
      </c>
      <c r="W599">
        <f t="shared" si="23"/>
        <v>5.9699999999999172</v>
      </c>
      <c r="X599">
        <v>-3.4303655152457435</v>
      </c>
      <c r="Y599">
        <v>4</v>
      </c>
    </row>
    <row r="600" spans="20:25" x14ac:dyDescent="0.3">
      <c r="T600">
        <f t="shared" si="22"/>
        <v>5.9799999999999169</v>
      </c>
      <c r="U600">
        <f>($P$3*EXP(-$Q$3*T600)*SIN(2*PI()*T600/$R$3)+$S$3)</f>
        <v>-6.9575475352875532E-2</v>
      </c>
      <c r="W600">
        <f t="shared" si="23"/>
        <v>5.9799999999999169</v>
      </c>
      <c r="X600">
        <v>-3.3840709924604191</v>
      </c>
      <c r="Y600">
        <v>3</v>
      </c>
    </row>
    <row r="601" spans="20:25" x14ac:dyDescent="0.3">
      <c r="T601">
        <f t="shared" si="22"/>
        <v>5.9899999999999167</v>
      </c>
      <c r="U601">
        <f>($P$3*EXP(-$Q$3*T601)*SIN(2*PI()*T601/$R$3)+$S$3)</f>
        <v>-3.47139809111493E-2</v>
      </c>
      <c r="W601">
        <f t="shared" si="23"/>
        <v>5.9899999999999167</v>
      </c>
      <c r="X601">
        <v>-3.3315126717894019</v>
      </c>
      <c r="Y601">
        <v>2</v>
      </c>
    </row>
    <row r="602" spans="20:25" x14ac:dyDescent="0.3">
      <c r="T602">
        <f t="shared" si="22"/>
        <v>5.9999999999999165</v>
      </c>
      <c r="U602">
        <f>($P$3*EXP(-$Q$3*T602)*SIN(2*PI()*T602/$R$3)+$S$3)</f>
        <v>-2.9150357524131446E-13</v>
      </c>
      <c r="W602">
        <f t="shared" si="23"/>
        <v>5.9999999999999165</v>
      </c>
      <c r="X602">
        <v>-3.2727458141023158</v>
      </c>
      <c r="Y602">
        <v>1</v>
      </c>
    </row>
    <row r="603" spans="20:25" x14ac:dyDescent="0.3">
      <c r="T603">
        <f t="shared" si="22"/>
        <v>6.0099999999999163</v>
      </c>
      <c r="W603">
        <f t="shared" si="23"/>
        <v>6.0099999999999163</v>
      </c>
      <c r="X603">
        <v>-3.2078369934837756</v>
      </c>
    </row>
    <row r="604" spans="20:25" x14ac:dyDescent="0.3">
      <c r="T604">
        <f t="shared" si="22"/>
        <v>6.0199999999999161</v>
      </c>
      <c r="W604">
        <f t="shared" si="23"/>
        <v>6.0199999999999161</v>
      </c>
      <c r="X604">
        <v>-3.136864047571255</v>
      </c>
    </row>
    <row r="605" spans="20:25" x14ac:dyDescent="0.3">
      <c r="T605">
        <f t="shared" si="22"/>
        <v>6.0299999999999159</v>
      </c>
      <c r="W605">
        <f t="shared" si="23"/>
        <v>6.0299999999999159</v>
      </c>
      <c r="X605">
        <v>-3.0599160076729963</v>
      </c>
    </row>
    <row r="606" spans="20:25" x14ac:dyDescent="0.3">
      <c r="T606">
        <f t="shared" si="22"/>
        <v>6.0399999999999157</v>
      </c>
      <c r="W606">
        <f t="shared" si="23"/>
        <v>6.0399999999999157</v>
      </c>
      <c r="X606">
        <v>-2.9770930086677616</v>
      </c>
    </row>
    <row r="607" spans="20:25" x14ac:dyDescent="0.3">
      <c r="T607">
        <f t="shared" si="22"/>
        <v>6.0499999999999154</v>
      </c>
      <c r="W607">
        <f t="shared" si="23"/>
        <v>6.0499999999999154</v>
      </c>
      <c r="X607">
        <v>-2.8885061787242199</v>
      </c>
    </row>
    <row r="608" spans="20:25" x14ac:dyDescent="0.3">
      <c r="T608">
        <f t="shared" si="22"/>
        <v>6.0599999999999152</v>
      </c>
      <c r="W608">
        <f t="shared" si="23"/>
        <v>6.0599999999999152</v>
      </c>
      <c r="X608">
        <v>-2.7942775089134573</v>
      </c>
    </row>
    <row r="609" spans="20:24" x14ac:dyDescent="0.3">
      <c r="T609">
        <f t="shared" si="22"/>
        <v>6.069999999999915</v>
      </c>
      <c r="W609">
        <f t="shared" si="23"/>
        <v>6.069999999999915</v>
      </c>
      <c r="X609">
        <v>-2.6945397028243248</v>
      </c>
    </row>
    <row r="610" spans="20:24" x14ac:dyDescent="0.3">
      <c r="T610">
        <f t="shared" si="22"/>
        <v>6.0799999999999148</v>
      </c>
      <c r="W610">
        <f t="shared" si="23"/>
        <v>6.0799999999999148</v>
      </c>
      <c r="X610">
        <v>-2.5894360063271602</v>
      </c>
    </row>
    <row r="611" spans="20:24" x14ac:dyDescent="0.3">
      <c r="T611">
        <f t="shared" si="22"/>
        <v>6.0899999999999146</v>
      </c>
      <c r="W611">
        <f t="shared" si="23"/>
        <v>6.0899999999999146</v>
      </c>
      <c r="X611">
        <v>-2.4791200176675674</v>
      </c>
    </row>
    <row r="612" spans="20:24" x14ac:dyDescent="0.3">
      <c r="T612">
        <f t="shared" si="22"/>
        <v>6.0999999999999144</v>
      </c>
      <c r="W612">
        <f t="shared" si="23"/>
        <v>6.0999999999999144</v>
      </c>
      <c r="X612">
        <v>-2.3637554781077275</v>
      </c>
    </row>
    <row r="613" spans="20:24" x14ac:dyDescent="0.3">
      <c r="T613">
        <f t="shared" si="22"/>
        <v>6.1099999999999142</v>
      </c>
      <c r="W613">
        <f t="shared" si="23"/>
        <v>6.1099999999999142</v>
      </c>
      <c r="X613">
        <v>-2.2435160433684449</v>
      </c>
    </row>
    <row r="614" spans="20:24" x14ac:dyDescent="0.3">
      <c r="T614">
        <f t="shared" si="22"/>
        <v>6.119999999999914</v>
      </c>
      <c r="W614">
        <f t="shared" si="23"/>
        <v>6.119999999999914</v>
      </c>
      <c r="X614">
        <v>-2.1185850361606722</v>
      </c>
    </row>
    <row r="615" spans="20:24" x14ac:dyDescent="0.3">
      <c r="T615">
        <f t="shared" ref="T615:T678" si="24">T614+0.01</f>
        <v>6.1299999999999137</v>
      </c>
      <c r="W615">
        <f t="shared" si="23"/>
        <v>6.1299999999999137</v>
      </c>
      <c r="X615">
        <v>-1.9891551801303085</v>
      </c>
    </row>
    <row r="616" spans="20:24" x14ac:dyDescent="0.3">
      <c r="T616">
        <f t="shared" si="24"/>
        <v>6.1399999999999135</v>
      </c>
      <c r="W616">
        <f t="shared" si="23"/>
        <v>6.1399999999999135</v>
      </c>
      <c r="X616">
        <v>-1.8554283155750695</v>
      </c>
    </row>
    <row r="617" spans="20:24" x14ac:dyDescent="0.3">
      <c r="T617">
        <f t="shared" si="24"/>
        <v>6.1499999999999133</v>
      </c>
      <c r="W617">
        <f t="shared" si="23"/>
        <v>6.1499999999999133</v>
      </c>
      <c r="X617">
        <v>-1.717615097326429</v>
      </c>
    </row>
    <row r="618" spans="20:24" x14ac:dyDescent="0.3">
      <c r="T618">
        <f t="shared" si="24"/>
        <v>6.1599999999999131</v>
      </c>
      <c r="W618">
        <f t="shared" si="23"/>
        <v>6.1599999999999131</v>
      </c>
      <c r="X618">
        <v>-1.5759346752237338</v>
      </c>
    </row>
    <row r="619" spans="20:24" x14ac:dyDescent="0.3">
      <c r="T619">
        <f t="shared" si="24"/>
        <v>6.1699999999999129</v>
      </c>
      <c r="W619">
        <f t="shared" si="23"/>
        <v>6.1699999999999129</v>
      </c>
      <c r="X619">
        <v>-1.4306143576407584</v>
      </c>
    </row>
    <row r="620" spans="20:24" x14ac:dyDescent="0.3">
      <c r="T620">
        <f t="shared" si="24"/>
        <v>6.1799999999999127</v>
      </c>
      <c r="W620">
        <f t="shared" si="23"/>
        <v>6.1799999999999127</v>
      </c>
      <c r="X620">
        <v>-1.2818892585579096</v>
      </c>
    </row>
    <row r="621" spans="20:24" x14ac:dyDescent="0.3">
      <c r="T621">
        <f t="shared" si="24"/>
        <v>6.1899999999999125</v>
      </c>
      <c r="W621">
        <f t="shared" si="23"/>
        <v>6.1899999999999125</v>
      </c>
      <c r="X621">
        <v>-1.1300019287051557</v>
      </c>
    </row>
    <row r="622" spans="20:24" x14ac:dyDescent="0.3">
      <c r="T622">
        <f t="shared" si="24"/>
        <v>6.1999999999999122</v>
      </c>
      <c r="W622">
        <f t="shared" si="23"/>
        <v>6.1999999999999122</v>
      </c>
      <c r="X622">
        <v>-0.97520197133229869</v>
      </c>
    </row>
    <row r="623" spans="20:24" x14ac:dyDescent="0.3">
      <c r="T623">
        <f t="shared" si="24"/>
        <v>6.209999999999912</v>
      </c>
      <c r="W623">
        <f t="shared" si="23"/>
        <v>6.209999999999912</v>
      </c>
      <c r="X623">
        <v>-0.81774564319352872</v>
      </c>
    </row>
    <row r="624" spans="20:24" x14ac:dyDescent="0.3">
      <c r="T624">
        <f t="shared" si="24"/>
        <v>6.2199999999999118</v>
      </c>
      <c r="W624">
        <f t="shared" si="23"/>
        <v>6.2199999999999118</v>
      </c>
      <c r="X624">
        <v>-0.65789544136310751</v>
      </c>
    </row>
    <row r="625" spans="20:24" x14ac:dyDescent="0.3">
      <c r="T625">
        <f t="shared" si="24"/>
        <v>6.2299999999999116</v>
      </c>
      <c r="W625">
        <f t="shared" si="23"/>
        <v>6.2299999999999116</v>
      </c>
      <c r="X625">
        <v>-0.49591967652757463</v>
      </c>
    </row>
    <row r="626" spans="20:24" x14ac:dyDescent="0.3">
      <c r="T626">
        <f t="shared" si="24"/>
        <v>6.2399999999999114</v>
      </c>
      <c r="W626">
        <f t="shared" si="23"/>
        <v>6.2399999999999114</v>
      </c>
      <c r="X626">
        <v>-0.33209203342787097</v>
      </c>
    </row>
    <row r="627" spans="20:24" x14ac:dyDescent="0.3">
      <c r="T627">
        <f t="shared" si="24"/>
        <v>6.2499999999999112</v>
      </c>
      <c r="W627">
        <f t="shared" si="23"/>
        <v>6.2499999999999112</v>
      </c>
      <c r="X627">
        <v>-0.16669111915143262</v>
      </c>
    </row>
    <row r="628" spans="20:24" x14ac:dyDescent="0.3">
      <c r="T628">
        <f t="shared" si="24"/>
        <v>6.259999999999911</v>
      </c>
      <c r="W628">
        <f t="shared" si="23"/>
        <v>6.259999999999911</v>
      </c>
      <c r="X628">
        <v>-6.603098277009967E-15</v>
      </c>
    </row>
    <row r="629" spans="20:24" x14ac:dyDescent="0.3">
      <c r="T629">
        <f t="shared" si="24"/>
        <v>6.2699999999999108</v>
      </c>
      <c r="W629">
        <f t="shared" si="23"/>
        <v>6.2699999999999108</v>
      </c>
      <c r="X629">
        <v>0.16769427231636155</v>
      </c>
    </row>
    <row r="630" spans="20:24" x14ac:dyDescent="0.3">
      <c r="T630">
        <f t="shared" si="24"/>
        <v>6.2799999999999105</v>
      </c>
      <c r="W630">
        <f t="shared" si="23"/>
        <v>6.2799999999999105</v>
      </c>
      <c r="X630">
        <v>0.33610114438552208</v>
      </c>
    </row>
    <row r="631" spans="20:24" x14ac:dyDescent="0.3">
      <c r="T631">
        <f t="shared" si="24"/>
        <v>6.2899999999999103</v>
      </c>
      <c r="W631">
        <f t="shared" si="23"/>
        <v>6.2899999999999103</v>
      </c>
      <c r="X631">
        <v>0.50492705390356241</v>
      </c>
    </row>
    <row r="632" spans="20:24" x14ac:dyDescent="0.3">
      <c r="T632">
        <f t="shared" si="24"/>
        <v>6.2999999999999101</v>
      </c>
      <c r="W632">
        <f t="shared" si="23"/>
        <v>6.2999999999999101</v>
      </c>
      <c r="X632">
        <v>0.673875930772595</v>
      </c>
    </row>
    <row r="633" spans="20:24" x14ac:dyDescent="0.3">
      <c r="T633">
        <f t="shared" si="24"/>
        <v>6.3099999999999099</v>
      </c>
      <c r="W633">
        <f t="shared" si="23"/>
        <v>6.3099999999999099</v>
      </c>
      <c r="X633">
        <v>0.84264970564949337</v>
      </c>
    </row>
    <row r="634" spans="20:24" x14ac:dyDescent="0.3">
      <c r="T634">
        <f t="shared" si="24"/>
        <v>6.3199999999999097</v>
      </c>
      <c r="W634">
        <f t="shared" si="23"/>
        <v>6.3199999999999097</v>
      </c>
      <c r="X634">
        <v>1.0109488250910885</v>
      </c>
    </row>
    <row r="635" spans="20:24" x14ac:dyDescent="0.3">
      <c r="T635">
        <f t="shared" si="24"/>
        <v>6.3299999999999095</v>
      </c>
      <c r="W635">
        <f t="shared" si="23"/>
        <v>6.3299999999999095</v>
      </c>
      <c r="X635">
        <v>1.1784727724243076</v>
      </c>
    </row>
    <row r="636" spans="20:24" x14ac:dyDescent="0.3">
      <c r="T636">
        <f t="shared" si="24"/>
        <v>6.3399999999999093</v>
      </c>
      <c r="W636">
        <f t="shared" si="23"/>
        <v>6.3399999999999093</v>
      </c>
      <c r="X636">
        <v>1.3449205934545887</v>
      </c>
    </row>
    <row r="637" spans="20:24" x14ac:dyDescent="0.3">
      <c r="T637">
        <f t="shared" si="24"/>
        <v>6.3499999999999091</v>
      </c>
      <c r="W637">
        <f t="shared" si="23"/>
        <v>6.3499999999999091</v>
      </c>
      <c r="X637">
        <v>1.5099914261117888</v>
      </c>
    </row>
    <row r="638" spans="20:24" x14ac:dyDescent="0.3">
      <c r="T638">
        <f t="shared" si="24"/>
        <v>6.3599999999999088</v>
      </c>
      <c r="W638">
        <f t="shared" si="23"/>
        <v>6.3599999999999088</v>
      </c>
      <c r="X638">
        <v>1.6733850331206386</v>
      </c>
    </row>
    <row r="639" spans="20:24" x14ac:dyDescent="0.3">
      <c r="T639">
        <f t="shared" si="24"/>
        <v>6.3699999999999086</v>
      </c>
      <c r="W639">
        <f t="shared" si="23"/>
        <v>6.3699999999999086</v>
      </c>
      <c r="X639">
        <v>1.8348023367717472</v>
      </c>
    </row>
    <row r="640" spans="20:24" x14ac:dyDescent="0.3">
      <c r="T640">
        <f t="shared" si="24"/>
        <v>6.3799999999999084</v>
      </c>
      <c r="W640">
        <f t="shared" si="23"/>
        <v>6.3799999999999084</v>
      </c>
      <c r="X640">
        <v>1.9939459548600549</v>
      </c>
    </row>
    <row r="641" spans="20:24" x14ac:dyDescent="0.3">
      <c r="T641">
        <f t="shared" si="24"/>
        <v>6.3899999999999082</v>
      </c>
      <c r="W641">
        <f t="shared" si="23"/>
        <v>6.3899999999999082</v>
      </c>
      <c r="X641">
        <v>2.1505207368498356</v>
      </c>
    </row>
    <row r="642" spans="20:24" x14ac:dyDescent="0.3">
      <c r="T642">
        <f t="shared" si="24"/>
        <v>6.399999999999908</v>
      </c>
      <c r="W642">
        <f t="shared" si="23"/>
        <v>6.399999999999908</v>
      </c>
      <c r="X642">
        <v>2.3042342993193512</v>
      </c>
    </row>
    <row r="643" spans="20:24" x14ac:dyDescent="0.3">
      <c r="T643">
        <f t="shared" si="24"/>
        <v>6.4099999999999078</v>
      </c>
      <c r="W643">
        <f t="shared" si="23"/>
        <v>6.4099999999999078</v>
      </c>
      <c r="X643">
        <v>2.4547975597338052</v>
      </c>
    </row>
    <row r="644" spans="20:24" x14ac:dyDescent="0.3">
      <c r="T644">
        <f t="shared" si="24"/>
        <v>6.4199999999999076</v>
      </c>
      <c r="W644">
        <f t="shared" ref="W644:W707" si="25">W643+0.01</f>
        <v>6.4199999999999076</v>
      </c>
      <c r="X644">
        <v>2.60192526759249</v>
      </c>
    </row>
    <row r="645" spans="20:24" x14ac:dyDescent="0.3">
      <c r="T645">
        <f t="shared" si="24"/>
        <v>6.4299999999999073</v>
      </c>
      <c r="W645">
        <f t="shared" si="25"/>
        <v>6.4299999999999073</v>
      </c>
      <c r="X645">
        <v>2.7453365319949166</v>
      </c>
    </row>
    <row r="646" spans="20:24" x14ac:dyDescent="0.3">
      <c r="T646">
        <f t="shared" si="24"/>
        <v>6.4399999999999071</v>
      </c>
      <c r="W646">
        <f t="shared" si="25"/>
        <v>6.4399999999999071</v>
      </c>
      <c r="X646">
        <v>2.8847553446713023</v>
      </c>
    </row>
    <row r="647" spans="20:24" x14ac:dyDescent="0.3">
      <c r="T647">
        <f t="shared" si="24"/>
        <v>6.4499999999999069</v>
      </c>
      <c r="W647">
        <f t="shared" si="25"/>
        <v>6.4499999999999069</v>
      </c>
      <c r="X647">
        <v>3.0199110975250671</v>
      </c>
    </row>
    <row r="648" spans="20:24" x14ac:dyDescent="0.3">
      <c r="T648">
        <f t="shared" si="24"/>
        <v>6.4599999999999067</v>
      </c>
      <c r="W648">
        <f t="shared" si="25"/>
        <v>6.4599999999999067</v>
      </c>
      <c r="X648">
        <v>3.150539093738975</v>
      </c>
    </row>
    <row r="649" spans="20:24" x14ac:dyDescent="0.3">
      <c r="T649">
        <f t="shared" si="24"/>
        <v>6.4699999999999065</v>
      </c>
      <c r="W649">
        <f t="shared" si="25"/>
        <v>6.4699999999999065</v>
      </c>
      <c r="X649">
        <v>3.2763810515022134</v>
      </c>
    </row>
    <row r="650" spans="20:24" x14ac:dyDescent="0.3">
      <c r="T650">
        <f t="shared" si="24"/>
        <v>6.4799999999999063</v>
      </c>
      <c r="W650">
        <f t="shared" si="25"/>
        <v>6.4799999999999063</v>
      </c>
      <c r="X650">
        <v>3.3971855994230991</v>
      </c>
    </row>
    <row r="651" spans="20:24" x14ac:dyDescent="0.3">
      <c r="T651">
        <f t="shared" si="24"/>
        <v>6.4899999999999061</v>
      </c>
      <c r="W651">
        <f t="shared" si="25"/>
        <v>6.4899999999999061</v>
      </c>
      <c r="X651">
        <v>3.5127087627011675</v>
      </c>
    </row>
    <row r="652" spans="20:24" x14ac:dyDescent="0.3">
      <c r="T652">
        <f t="shared" si="24"/>
        <v>6.4999999999999059</v>
      </c>
      <c r="W652">
        <f t="shared" si="25"/>
        <v>6.4999999999999059</v>
      </c>
      <c r="X652">
        <v>3.6227144391431758</v>
      </c>
    </row>
    <row r="653" spans="20:24" x14ac:dyDescent="0.3">
      <c r="T653">
        <f t="shared" si="24"/>
        <v>6.5099999999999056</v>
      </c>
      <c r="W653">
        <f t="shared" si="25"/>
        <v>6.5099999999999056</v>
      </c>
      <c r="X653">
        <v>3.7269748641199874</v>
      </c>
    </row>
    <row r="654" spans="20:24" x14ac:dyDescent="0.3">
      <c r="T654">
        <f t="shared" si="24"/>
        <v>6.5199999999999054</v>
      </c>
      <c r="W654">
        <f t="shared" si="25"/>
        <v>6.5199999999999054</v>
      </c>
      <c r="X654">
        <v>3.8252710635754656</v>
      </c>
    </row>
    <row r="655" spans="20:24" x14ac:dyDescent="0.3">
      <c r="T655">
        <f t="shared" si="24"/>
        <v>6.5299999999999052</v>
      </c>
      <c r="W655">
        <f t="shared" si="25"/>
        <v>6.5299999999999052</v>
      </c>
      <c r="X655">
        <v>3.9173932942142473</v>
      </c>
    </row>
    <row r="656" spans="20:24" x14ac:dyDescent="0.3">
      <c r="T656">
        <f t="shared" si="24"/>
        <v>6.539999999999905</v>
      </c>
      <c r="W656">
        <f t="shared" si="25"/>
        <v>6.539999999999905</v>
      </c>
      <c r="X656">
        <v>4.0031414700126966</v>
      </c>
    </row>
    <row r="657" spans="20:24" x14ac:dyDescent="0.3">
      <c r="T657">
        <f t="shared" si="24"/>
        <v>6.5499999999999048</v>
      </c>
      <c r="W657">
        <f t="shared" si="25"/>
        <v>6.5499999999999048</v>
      </c>
      <c r="X657">
        <v>4.0823255742164273</v>
      </c>
    </row>
    <row r="658" spans="20:24" x14ac:dyDescent="0.3">
      <c r="T658">
        <f t="shared" si="24"/>
        <v>6.5599999999999046</v>
      </c>
      <c r="W658">
        <f t="shared" si="25"/>
        <v>6.5599999999999046</v>
      </c>
      <c r="X658">
        <v>4.154766056008329</v>
      </c>
    </row>
    <row r="659" spans="20:24" x14ac:dyDescent="0.3">
      <c r="T659">
        <f t="shared" si="24"/>
        <v>6.5699999999999044</v>
      </c>
      <c r="W659">
        <f t="shared" si="25"/>
        <v>6.5699999999999044</v>
      </c>
      <c r="X659">
        <v>4.2202942110533144</v>
      </c>
    </row>
    <row r="660" spans="20:24" x14ac:dyDescent="0.3">
      <c r="T660">
        <f t="shared" si="24"/>
        <v>6.5799999999999041</v>
      </c>
      <c r="W660">
        <f t="shared" si="25"/>
        <v>6.5799999999999041</v>
      </c>
      <c r="X660">
        <v>4.2787525451496977</v>
      </c>
    </row>
    <row r="661" spans="20:24" x14ac:dyDescent="0.3">
      <c r="T661">
        <f t="shared" si="24"/>
        <v>6.5899999999999039</v>
      </c>
      <c r="W661">
        <f t="shared" si="25"/>
        <v>6.5899999999999039</v>
      </c>
      <c r="X661">
        <v>4.3299951202423781</v>
      </c>
    </row>
    <row r="662" spans="20:24" x14ac:dyDescent="0.3">
      <c r="T662">
        <f t="shared" si="24"/>
        <v>6.5999999999999037</v>
      </c>
      <c r="W662">
        <f t="shared" si="25"/>
        <v>6.5999999999999037</v>
      </c>
      <c r="X662">
        <v>4.3738878820796989</v>
      </c>
    </row>
    <row r="663" spans="20:24" x14ac:dyDescent="0.3">
      <c r="T663">
        <f t="shared" si="24"/>
        <v>6.6099999999999035</v>
      </c>
      <c r="W663">
        <f t="shared" si="25"/>
        <v>6.6099999999999035</v>
      </c>
      <c r="X663">
        <v>4.4103089688240207</v>
      </c>
    </row>
    <row r="664" spans="20:24" x14ac:dyDescent="0.3">
      <c r="T664">
        <f t="shared" si="24"/>
        <v>6.6199999999999033</v>
      </c>
      <c r="W664">
        <f t="shared" si="25"/>
        <v>6.6199999999999033</v>
      </c>
      <c r="X664">
        <v>4.4391489999555569</v>
      </c>
    </row>
    <row r="665" spans="20:24" x14ac:dyDescent="0.3">
      <c r="T665">
        <f t="shared" si="24"/>
        <v>6.6299999999999031</v>
      </c>
      <c r="W665">
        <f t="shared" si="25"/>
        <v>6.6299999999999031</v>
      </c>
      <c r="X665">
        <v>4.4603113448399139</v>
      </c>
    </row>
    <row r="666" spans="20:24" x14ac:dyDescent="0.3">
      <c r="T666">
        <f t="shared" si="24"/>
        <v>6.6399999999999029</v>
      </c>
      <c r="W666">
        <f t="shared" si="25"/>
        <v>6.6399999999999029</v>
      </c>
      <c r="X666">
        <v>4.4737123703619481</v>
      </c>
    </row>
    <row r="667" spans="20:24" x14ac:dyDescent="0.3">
      <c r="T667">
        <f t="shared" si="24"/>
        <v>6.6499999999999027</v>
      </c>
      <c r="W667">
        <f t="shared" si="25"/>
        <v>6.6499999999999027</v>
      </c>
      <c r="X667">
        <v>4.4792816670619988</v>
      </c>
    </row>
    <row r="668" spans="20:24" x14ac:dyDescent="0.3">
      <c r="T668">
        <f t="shared" si="24"/>
        <v>6.6599999999999024</v>
      </c>
      <c r="W668">
        <f t="shared" si="25"/>
        <v>6.6599999999999024</v>
      </c>
      <c r="X668">
        <v>4.4769622532451434</v>
      </c>
    </row>
    <row r="669" spans="20:24" x14ac:dyDescent="0.3">
      <c r="T669">
        <f t="shared" si="24"/>
        <v>6.6699999999999022</v>
      </c>
      <c r="W669">
        <f t="shared" si="25"/>
        <v>6.6699999999999022</v>
      </c>
      <c r="X669">
        <v>4.4667107565699551</v>
      </c>
    </row>
    <row r="670" spans="20:24" x14ac:dyDescent="0.3">
      <c r="T670">
        <f t="shared" si="24"/>
        <v>6.679999999999902</v>
      </c>
      <c r="W670">
        <f t="shared" si="25"/>
        <v>6.679999999999902</v>
      </c>
      <c r="X670">
        <v>4.4484975726600444</v>
      </c>
    </row>
    <row r="671" spans="20:24" x14ac:dyDescent="0.3">
      <c r="T671">
        <f t="shared" si="24"/>
        <v>6.6899999999999018</v>
      </c>
      <c r="W671">
        <f t="shared" si="25"/>
        <v>6.6899999999999018</v>
      </c>
      <c r="X671">
        <v>4.422307000319579</v>
      </c>
    </row>
    <row r="672" spans="20:24" x14ac:dyDescent="0.3">
      <c r="T672">
        <f t="shared" si="24"/>
        <v>6.6999999999999016</v>
      </c>
      <c r="W672">
        <f t="shared" si="25"/>
        <v>6.6999999999999016</v>
      </c>
      <c r="X672">
        <v>4.3881373529728682</v>
      </c>
    </row>
    <row r="673" spans="20:24" x14ac:dyDescent="0.3">
      <c r="T673">
        <f t="shared" si="24"/>
        <v>6.7099999999999014</v>
      </c>
      <c r="W673">
        <f t="shared" si="25"/>
        <v>6.7099999999999014</v>
      </c>
      <c r="X673">
        <v>4.3460010459877747</v>
      </c>
    </row>
    <row r="674" spans="20:24" x14ac:dyDescent="0.3">
      <c r="T674">
        <f t="shared" si="24"/>
        <v>6.7199999999999012</v>
      </c>
      <c r="W674">
        <f t="shared" si="25"/>
        <v>6.7199999999999012</v>
      </c>
      <c r="X674">
        <v>4.2959246595834495</v>
      </c>
    </row>
    <row r="675" spans="20:24" x14ac:dyDescent="0.3">
      <c r="T675">
        <f t="shared" si="24"/>
        <v>6.729999999999901</v>
      </c>
      <c r="W675">
        <f t="shared" si="25"/>
        <v>6.729999999999901</v>
      </c>
      <c r="X675">
        <v>4.2379489770641268</v>
      </c>
    </row>
    <row r="676" spans="20:24" x14ac:dyDescent="0.3">
      <c r="T676">
        <f t="shared" si="24"/>
        <v>6.7399999999999007</v>
      </c>
      <c r="W676">
        <f t="shared" si="25"/>
        <v>6.7399999999999007</v>
      </c>
      <c r="X676">
        <v>4.172128998162913</v>
      </c>
    </row>
    <row r="677" spans="20:24" x14ac:dyDescent="0.3">
      <c r="T677">
        <f t="shared" si="24"/>
        <v>6.7499999999999005</v>
      </c>
      <c r="W677">
        <f t="shared" si="25"/>
        <v>6.7499999999999005</v>
      </c>
      <c r="X677">
        <v>4.0985339273221628</v>
      </c>
    </row>
    <row r="678" spans="20:24" x14ac:dyDescent="0.3">
      <c r="T678">
        <f t="shared" si="24"/>
        <v>6.7599999999999003</v>
      </c>
      <c r="W678">
        <f t="shared" si="25"/>
        <v>6.7599999999999003</v>
      </c>
      <c r="X678">
        <v>4.0172471367803393</v>
      </c>
    </row>
    <row r="679" spans="20:24" x14ac:dyDescent="0.3">
      <c r="T679">
        <f t="shared" ref="T679:T702" si="26">T678+0.01</f>
        <v>6.7699999999999001</v>
      </c>
      <c r="W679">
        <f t="shared" si="25"/>
        <v>6.7699999999999001</v>
      </c>
      <c r="X679">
        <v>3.9283661043790357</v>
      </c>
    </row>
    <row r="680" spans="20:24" x14ac:dyDescent="0.3">
      <c r="T680">
        <f t="shared" si="26"/>
        <v>6.7799999999998999</v>
      </c>
      <c r="W680">
        <f t="shared" si="25"/>
        <v>6.7799999999998999</v>
      </c>
      <c r="X680">
        <v>3.8320023260480069</v>
      </c>
    </row>
    <row r="681" spans="20:24" x14ac:dyDescent="0.3">
      <c r="T681">
        <f t="shared" si="26"/>
        <v>6.7899999999998997</v>
      </c>
      <c r="W681">
        <f t="shared" si="25"/>
        <v>6.7899999999998997</v>
      </c>
      <c r="X681">
        <v>3.7282812029706172</v>
      </c>
    </row>
    <row r="682" spans="20:24" x14ac:dyDescent="0.3">
      <c r="T682">
        <f t="shared" si="26"/>
        <v>6.7999999999998995</v>
      </c>
      <c r="W682">
        <f t="shared" si="25"/>
        <v>6.7999999999998995</v>
      </c>
      <c r="X682">
        <v>3.6173419034768903</v>
      </c>
    </row>
    <row r="683" spans="20:24" x14ac:dyDescent="0.3">
      <c r="T683">
        <f t="shared" si="26"/>
        <v>6.8099999999998992</v>
      </c>
      <c r="W683">
        <f t="shared" si="25"/>
        <v>6.8099999999998992</v>
      </c>
      <c r="X683">
        <v>3.4993371997563307</v>
      </c>
    </row>
    <row r="684" spans="20:24" x14ac:dyDescent="0.3">
      <c r="T684">
        <f t="shared" si="26"/>
        <v>6.819999999999899</v>
      </c>
      <c r="W684">
        <f t="shared" si="25"/>
        <v>6.819999999999899</v>
      </c>
      <c r="X684">
        <v>3.3744332795277709</v>
      </c>
    </row>
    <row r="685" spans="20:24" x14ac:dyDescent="0.3">
      <c r="T685">
        <f t="shared" si="26"/>
        <v>6.8299999999998988</v>
      </c>
      <c r="W685">
        <f t="shared" si="25"/>
        <v>6.8299999999998988</v>
      </c>
      <c r="X685">
        <v>3.2428095328486362</v>
      </c>
    </row>
    <row r="686" spans="20:24" x14ac:dyDescent="0.3">
      <c r="T686">
        <f t="shared" si="26"/>
        <v>6.8399999999998986</v>
      </c>
      <c r="W686">
        <f t="shared" si="25"/>
        <v>6.8399999999998986</v>
      </c>
      <c r="X686">
        <v>3.1046583142910649</v>
      </c>
    </row>
    <row r="687" spans="20:24" x14ac:dyDescent="0.3">
      <c r="T687">
        <f t="shared" si="26"/>
        <v>6.8499999999998984</v>
      </c>
      <c r="W687">
        <f t="shared" si="25"/>
        <v>6.8499999999998984</v>
      </c>
      <c r="X687">
        <v>2.9601846807572589</v>
      </c>
    </row>
    <row r="688" spans="20:24" x14ac:dyDescent="0.3">
      <c r="T688">
        <f t="shared" si="26"/>
        <v>6.8599999999998982</v>
      </c>
      <c r="W688">
        <f t="shared" si="25"/>
        <v>6.8599999999998982</v>
      </c>
      <c r="X688">
        <v>2.8096061052511883</v>
      </c>
    </row>
    <row r="689" spans="20:24" x14ac:dyDescent="0.3">
      <c r="T689">
        <f t="shared" si="26"/>
        <v>6.869999999999898</v>
      </c>
      <c r="W689">
        <f t="shared" si="25"/>
        <v>6.869999999999898</v>
      </c>
      <c r="X689">
        <v>2.6531521669681624</v>
      </c>
    </row>
    <row r="690" spans="20:24" x14ac:dyDescent="0.3">
      <c r="T690">
        <f t="shared" si="26"/>
        <v>6.8799999999998978</v>
      </c>
      <c r="W690">
        <f t="shared" si="25"/>
        <v>6.8799999999998978</v>
      </c>
      <c r="X690">
        <v>2.4910642181078968</v>
      </c>
    </row>
    <row r="691" spans="20:24" x14ac:dyDescent="0.3">
      <c r="T691">
        <f t="shared" si="26"/>
        <v>6.8899999999998975</v>
      </c>
      <c r="W691">
        <f t="shared" si="25"/>
        <v>6.8899999999998975</v>
      </c>
      <c r="X691">
        <v>2.3235950278602573</v>
      </c>
    </row>
    <row r="692" spans="20:24" x14ac:dyDescent="0.3">
      <c r="T692">
        <f t="shared" si="26"/>
        <v>6.8999999999998973</v>
      </c>
      <c r="W692">
        <f t="shared" si="25"/>
        <v>6.8999999999998973</v>
      </c>
      <c r="X692">
        <v>2.1510084040559789</v>
      </c>
    </row>
    <row r="693" spans="20:24" x14ac:dyDescent="0.3">
      <c r="T693">
        <f t="shared" si="26"/>
        <v>6.9099999999998971</v>
      </c>
      <c r="W693">
        <f t="shared" si="25"/>
        <v>6.9099999999998971</v>
      </c>
      <c r="X693">
        <v>1.9735787930171198</v>
      </c>
    </row>
    <row r="694" spans="20:24" x14ac:dyDescent="0.3">
      <c r="T694">
        <f t="shared" si="26"/>
        <v>6.9199999999998969</v>
      </c>
      <c r="W694">
        <f t="shared" si="25"/>
        <v>6.9199999999998969</v>
      </c>
      <c r="X694">
        <v>1.7915908581837463</v>
      </c>
    </row>
    <row r="695" spans="20:24" x14ac:dyDescent="0.3">
      <c r="T695">
        <f t="shared" si="26"/>
        <v>6.9299999999998967</v>
      </c>
      <c r="W695">
        <f t="shared" si="25"/>
        <v>6.9299999999998967</v>
      </c>
      <c r="X695">
        <v>1.6053390381344068</v>
      </c>
    </row>
    <row r="696" spans="20:24" x14ac:dyDescent="0.3">
      <c r="T696">
        <f t="shared" si="26"/>
        <v>6.9399999999998965</v>
      </c>
      <c r="W696">
        <f t="shared" si="25"/>
        <v>6.9399999999998965</v>
      </c>
      <c r="X696">
        <v>1.4151270846580788</v>
      </c>
    </row>
    <row r="697" spans="20:24" x14ac:dyDescent="0.3">
      <c r="T697">
        <f t="shared" si="26"/>
        <v>6.9499999999998963</v>
      </c>
      <c r="W697">
        <f t="shared" si="25"/>
        <v>6.9499999999998963</v>
      </c>
      <c r="X697">
        <v>1.2212675815745155</v>
      </c>
    </row>
    <row r="698" spans="20:24" x14ac:dyDescent="0.3">
      <c r="T698">
        <f t="shared" si="26"/>
        <v>6.959999999999896</v>
      </c>
      <c r="W698">
        <f t="shared" si="25"/>
        <v>6.959999999999896</v>
      </c>
      <c r="X698">
        <v>1.0240814450381757</v>
      </c>
    </row>
    <row r="699" spans="20:24" x14ac:dyDescent="0.3">
      <c r="T699">
        <f t="shared" si="26"/>
        <v>6.9699999999998958</v>
      </c>
      <c r="W699">
        <f t="shared" si="25"/>
        <v>6.9699999999998958</v>
      </c>
      <c r="X699">
        <v>0.82389740609808326</v>
      </c>
    </row>
    <row r="700" spans="20:24" x14ac:dyDescent="0.3">
      <c r="T700">
        <f t="shared" si="26"/>
        <v>6.9799999999998956</v>
      </c>
      <c r="W700">
        <f t="shared" si="25"/>
        <v>6.9799999999998956</v>
      </c>
      <c r="X700">
        <v>0.62105147632199176</v>
      </c>
    </row>
    <row r="701" spans="20:24" x14ac:dyDescent="0.3">
      <c r="T701">
        <f t="shared" si="26"/>
        <v>6.9899999999998954</v>
      </c>
      <c r="W701">
        <f t="shared" si="25"/>
        <v>6.9899999999998954</v>
      </c>
      <c r="X701">
        <v>0.41588639732806204</v>
      </c>
    </row>
    <row r="702" spans="20:24" x14ac:dyDescent="0.3">
      <c r="T702">
        <f t="shared" si="26"/>
        <v>6.9999999999998952</v>
      </c>
      <c r="W702">
        <f t="shared" si="25"/>
        <v>6.9999999999998952</v>
      </c>
      <c r="X702">
        <v>0.20875107510077309</v>
      </c>
    </row>
    <row r="703" spans="20:24" x14ac:dyDescent="0.3">
      <c r="W703">
        <f t="shared" si="25"/>
        <v>7.009999999999895</v>
      </c>
      <c r="X703">
        <v>0</v>
      </c>
    </row>
    <row r="704" spans="20:24" x14ac:dyDescent="0.3">
      <c r="W704">
        <f t="shared" si="25"/>
        <v>7.0199999999998948</v>
      </c>
      <c r="X704">
        <v>0</v>
      </c>
    </row>
    <row r="705" spans="23:24" x14ac:dyDescent="0.3">
      <c r="W705">
        <f t="shared" si="25"/>
        <v>7.0299999999998946</v>
      </c>
      <c r="X705">
        <v>0</v>
      </c>
    </row>
    <row r="706" spans="23:24" x14ac:dyDescent="0.3">
      <c r="W706">
        <f t="shared" si="25"/>
        <v>7.0399999999998943</v>
      </c>
      <c r="X706">
        <v>0</v>
      </c>
    </row>
    <row r="707" spans="23:24" x14ac:dyDescent="0.3">
      <c r="W707">
        <f t="shared" si="25"/>
        <v>7.0499999999998941</v>
      </c>
      <c r="X707">
        <v>0</v>
      </c>
    </row>
    <row r="708" spans="23:24" x14ac:dyDescent="0.3">
      <c r="W708">
        <f t="shared" ref="W708:W771" si="27">W707+0.01</f>
        <v>7.0599999999998939</v>
      </c>
      <c r="X708">
        <v>0</v>
      </c>
    </row>
    <row r="709" spans="23:24" x14ac:dyDescent="0.3">
      <c r="W709">
        <f t="shared" si="27"/>
        <v>7.0699999999998937</v>
      </c>
      <c r="X709">
        <v>0</v>
      </c>
    </row>
    <row r="710" spans="23:24" x14ac:dyDescent="0.3">
      <c r="W710">
        <f t="shared" si="27"/>
        <v>7.0799999999998935</v>
      </c>
      <c r="X710">
        <v>0</v>
      </c>
    </row>
    <row r="711" spans="23:24" x14ac:dyDescent="0.3">
      <c r="W711">
        <f t="shared" si="27"/>
        <v>7.0899999999998933</v>
      </c>
      <c r="X711">
        <v>0</v>
      </c>
    </row>
    <row r="712" spans="23:24" x14ac:dyDescent="0.3">
      <c r="W712">
        <f t="shared" si="27"/>
        <v>7.0999999999998931</v>
      </c>
      <c r="X712">
        <v>0</v>
      </c>
    </row>
    <row r="713" spans="23:24" x14ac:dyDescent="0.3">
      <c r="W713">
        <f t="shared" si="27"/>
        <v>7.1099999999998929</v>
      </c>
      <c r="X713">
        <v>0</v>
      </c>
    </row>
    <row r="714" spans="23:24" x14ac:dyDescent="0.3">
      <c r="W714">
        <f t="shared" si="27"/>
        <v>7.1199999999998926</v>
      </c>
      <c r="X714">
        <v>0</v>
      </c>
    </row>
    <row r="715" spans="23:24" x14ac:dyDescent="0.3">
      <c r="W715">
        <f t="shared" si="27"/>
        <v>7.1299999999998924</v>
      </c>
      <c r="X715">
        <v>0</v>
      </c>
    </row>
    <row r="716" spans="23:24" x14ac:dyDescent="0.3">
      <c r="W716">
        <f t="shared" si="27"/>
        <v>7.1399999999998922</v>
      </c>
      <c r="X716">
        <v>0</v>
      </c>
    </row>
    <row r="717" spans="23:24" x14ac:dyDescent="0.3">
      <c r="W717">
        <f t="shared" si="27"/>
        <v>7.149999999999892</v>
      </c>
      <c r="X717">
        <v>0</v>
      </c>
    </row>
    <row r="718" spans="23:24" x14ac:dyDescent="0.3">
      <c r="W718">
        <f t="shared" si="27"/>
        <v>7.1599999999998918</v>
      </c>
      <c r="X718">
        <v>0</v>
      </c>
    </row>
    <row r="719" spans="23:24" x14ac:dyDescent="0.3">
      <c r="W719">
        <f t="shared" si="27"/>
        <v>7.1699999999998916</v>
      </c>
      <c r="X719">
        <v>0</v>
      </c>
    </row>
    <row r="720" spans="23:24" x14ac:dyDescent="0.3">
      <c r="W720">
        <f t="shared" si="27"/>
        <v>7.1799999999998914</v>
      </c>
      <c r="X720">
        <v>0</v>
      </c>
    </row>
    <row r="721" spans="23:24" x14ac:dyDescent="0.3">
      <c r="W721">
        <f t="shared" si="27"/>
        <v>7.1899999999998911</v>
      </c>
      <c r="X721">
        <v>0</v>
      </c>
    </row>
    <row r="722" spans="23:24" x14ac:dyDescent="0.3">
      <c r="W722">
        <f t="shared" si="27"/>
        <v>7.1999999999998909</v>
      </c>
      <c r="X722">
        <v>0</v>
      </c>
    </row>
    <row r="723" spans="23:24" x14ac:dyDescent="0.3">
      <c r="W723">
        <f t="shared" si="27"/>
        <v>7.2099999999998907</v>
      </c>
      <c r="X723">
        <v>0</v>
      </c>
    </row>
    <row r="724" spans="23:24" x14ac:dyDescent="0.3">
      <c r="W724">
        <f t="shared" si="27"/>
        <v>7.2199999999998905</v>
      </c>
      <c r="X724">
        <v>0</v>
      </c>
    </row>
    <row r="725" spans="23:24" x14ac:dyDescent="0.3">
      <c r="W725">
        <f t="shared" si="27"/>
        <v>7.2299999999998903</v>
      </c>
      <c r="X725">
        <v>0</v>
      </c>
    </row>
    <row r="726" spans="23:24" x14ac:dyDescent="0.3">
      <c r="W726">
        <f t="shared" si="27"/>
        <v>7.2399999999998901</v>
      </c>
      <c r="X726">
        <v>0</v>
      </c>
    </row>
    <row r="727" spans="23:24" x14ac:dyDescent="0.3">
      <c r="W727">
        <f t="shared" si="27"/>
        <v>7.2499999999998899</v>
      </c>
      <c r="X727">
        <v>0</v>
      </c>
    </row>
    <row r="728" spans="23:24" x14ac:dyDescent="0.3">
      <c r="W728">
        <f t="shared" si="27"/>
        <v>7.2599999999998897</v>
      </c>
      <c r="X728">
        <v>0</v>
      </c>
    </row>
    <row r="729" spans="23:24" x14ac:dyDescent="0.3">
      <c r="W729">
        <f t="shared" si="27"/>
        <v>7.2699999999998894</v>
      </c>
      <c r="X729">
        <v>0</v>
      </c>
    </row>
    <row r="730" spans="23:24" x14ac:dyDescent="0.3">
      <c r="W730">
        <f t="shared" si="27"/>
        <v>7.2799999999998892</v>
      </c>
      <c r="X730">
        <v>0</v>
      </c>
    </row>
    <row r="731" spans="23:24" x14ac:dyDescent="0.3">
      <c r="W731">
        <f t="shared" si="27"/>
        <v>7.289999999999889</v>
      </c>
      <c r="X731">
        <v>0</v>
      </c>
    </row>
    <row r="732" spans="23:24" x14ac:dyDescent="0.3">
      <c r="W732">
        <f t="shared" si="27"/>
        <v>7.2999999999998888</v>
      </c>
      <c r="X732">
        <v>0</v>
      </c>
    </row>
    <row r="733" spans="23:24" x14ac:dyDescent="0.3">
      <c r="W733">
        <f t="shared" si="27"/>
        <v>7.3099999999998886</v>
      </c>
      <c r="X733">
        <v>0</v>
      </c>
    </row>
    <row r="734" spans="23:24" x14ac:dyDescent="0.3">
      <c r="W734">
        <f t="shared" si="27"/>
        <v>7.3199999999998884</v>
      </c>
      <c r="X734">
        <v>0</v>
      </c>
    </row>
    <row r="735" spans="23:24" x14ac:dyDescent="0.3">
      <c r="W735">
        <f t="shared" si="27"/>
        <v>7.3299999999998882</v>
      </c>
      <c r="X735">
        <v>0</v>
      </c>
    </row>
    <row r="736" spans="23:24" x14ac:dyDescent="0.3">
      <c r="W736">
        <f t="shared" si="27"/>
        <v>7.3399999999998879</v>
      </c>
      <c r="X736">
        <v>0</v>
      </c>
    </row>
    <row r="737" spans="23:24" x14ac:dyDescent="0.3">
      <c r="W737">
        <f t="shared" si="27"/>
        <v>7.3499999999998877</v>
      </c>
      <c r="X737">
        <v>0</v>
      </c>
    </row>
    <row r="738" spans="23:24" x14ac:dyDescent="0.3">
      <c r="W738">
        <f t="shared" si="27"/>
        <v>7.3599999999998875</v>
      </c>
      <c r="X738">
        <v>0</v>
      </c>
    </row>
    <row r="739" spans="23:24" x14ac:dyDescent="0.3">
      <c r="W739">
        <f t="shared" si="27"/>
        <v>7.3699999999998873</v>
      </c>
      <c r="X739">
        <v>0</v>
      </c>
    </row>
    <row r="740" spans="23:24" x14ac:dyDescent="0.3">
      <c r="W740">
        <f t="shared" si="27"/>
        <v>7.3799999999998871</v>
      </c>
      <c r="X740">
        <v>0</v>
      </c>
    </row>
    <row r="741" spans="23:24" x14ac:dyDescent="0.3">
      <c r="W741">
        <f t="shared" si="27"/>
        <v>7.3899999999998869</v>
      </c>
      <c r="X741">
        <v>0</v>
      </c>
    </row>
    <row r="742" spans="23:24" x14ac:dyDescent="0.3">
      <c r="W742">
        <f t="shared" si="27"/>
        <v>7.3999999999998867</v>
      </c>
      <c r="X742">
        <v>0</v>
      </c>
    </row>
    <row r="743" spans="23:24" x14ac:dyDescent="0.3">
      <c r="W743">
        <f t="shared" si="27"/>
        <v>7.4099999999998865</v>
      </c>
      <c r="X743">
        <v>0</v>
      </c>
    </row>
    <row r="744" spans="23:24" x14ac:dyDescent="0.3">
      <c r="W744">
        <f t="shared" si="27"/>
        <v>7.4199999999998862</v>
      </c>
      <c r="X744">
        <v>0</v>
      </c>
    </row>
    <row r="745" spans="23:24" x14ac:dyDescent="0.3">
      <c r="W745">
        <f t="shared" si="27"/>
        <v>7.429999999999886</v>
      </c>
      <c r="X745">
        <v>0</v>
      </c>
    </row>
    <row r="746" spans="23:24" x14ac:dyDescent="0.3">
      <c r="W746">
        <f t="shared" si="27"/>
        <v>7.4399999999998858</v>
      </c>
      <c r="X746">
        <v>0</v>
      </c>
    </row>
    <row r="747" spans="23:24" x14ac:dyDescent="0.3">
      <c r="W747">
        <f t="shared" si="27"/>
        <v>7.4499999999998856</v>
      </c>
      <c r="X747">
        <v>0</v>
      </c>
    </row>
    <row r="748" spans="23:24" x14ac:dyDescent="0.3">
      <c r="W748">
        <f t="shared" si="27"/>
        <v>7.4599999999998854</v>
      </c>
      <c r="X748">
        <v>0</v>
      </c>
    </row>
    <row r="749" spans="23:24" x14ac:dyDescent="0.3">
      <c r="W749">
        <f t="shared" si="27"/>
        <v>7.4699999999998852</v>
      </c>
      <c r="X749">
        <v>0</v>
      </c>
    </row>
    <row r="750" spans="23:24" x14ac:dyDescent="0.3">
      <c r="W750">
        <f t="shared" si="27"/>
        <v>7.479999999999885</v>
      </c>
      <c r="X750">
        <v>0</v>
      </c>
    </row>
    <row r="751" spans="23:24" x14ac:dyDescent="0.3">
      <c r="W751">
        <f t="shared" si="27"/>
        <v>7.4899999999998847</v>
      </c>
      <c r="X751">
        <v>0</v>
      </c>
    </row>
    <row r="752" spans="23:24" x14ac:dyDescent="0.3">
      <c r="W752">
        <f t="shared" si="27"/>
        <v>7.4999999999998845</v>
      </c>
      <c r="X752">
        <v>0</v>
      </c>
    </row>
    <row r="753" spans="23:24" x14ac:dyDescent="0.3">
      <c r="W753">
        <f t="shared" si="27"/>
        <v>7.5099999999998843</v>
      </c>
      <c r="X753">
        <v>0</v>
      </c>
    </row>
    <row r="754" spans="23:24" x14ac:dyDescent="0.3">
      <c r="W754">
        <f t="shared" si="27"/>
        <v>7.5199999999998841</v>
      </c>
      <c r="X754">
        <v>0</v>
      </c>
    </row>
    <row r="755" spans="23:24" x14ac:dyDescent="0.3">
      <c r="W755">
        <f t="shared" si="27"/>
        <v>7.5299999999998839</v>
      </c>
      <c r="X755">
        <v>0</v>
      </c>
    </row>
    <row r="756" spans="23:24" x14ac:dyDescent="0.3">
      <c r="W756">
        <f t="shared" si="27"/>
        <v>7.5399999999998837</v>
      </c>
      <c r="X756">
        <v>0</v>
      </c>
    </row>
    <row r="757" spans="23:24" x14ac:dyDescent="0.3">
      <c r="W757">
        <f t="shared" si="27"/>
        <v>7.5499999999998835</v>
      </c>
      <c r="X757">
        <v>0</v>
      </c>
    </row>
    <row r="758" spans="23:24" x14ac:dyDescent="0.3">
      <c r="W758">
        <f t="shared" si="27"/>
        <v>7.5599999999998833</v>
      </c>
      <c r="X758">
        <v>0</v>
      </c>
    </row>
    <row r="759" spans="23:24" x14ac:dyDescent="0.3">
      <c r="W759">
        <f t="shared" si="27"/>
        <v>7.569999999999883</v>
      </c>
      <c r="X759">
        <v>0</v>
      </c>
    </row>
    <row r="760" spans="23:24" x14ac:dyDescent="0.3">
      <c r="W760">
        <f t="shared" si="27"/>
        <v>7.5799999999998828</v>
      </c>
      <c r="X760">
        <v>0</v>
      </c>
    </row>
    <row r="761" spans="23:24" x14ac:dyDescent="0.3">
      <c r="W761">
        <f t="shared" si="27"/>
        <v>7.5899999999998826</v>
      </c>
      <c r="X761">
        <v>0</v>
      </c>
    </row>
    <row r="762" spans="23:24" x14ac:dyDescent="0.3">
      <c r="W762">
        <f t="shared" si="27"/>
        <v>7.5999999999998824</v>
      </c>
      <c r="X762">
        <v>0</v>
      </c>
    </row>
    <row r="763" spans="23:24" x14ac:dyDescent="0.3">
      <c r="W763">
        <f t="shared" si="27"/>
        <v>7.6099999999998822</v>
      </c>
      <c r="X763">
        <v>0</v>
      </c>
    </row>
    <row r="764" spans="23:24" x14ac:dyDescent="0.3">
      <c r="W764">
        <f t="shared" si="27"/>
        <v>7.619999999999882</v>
      </c>
      <c r="X764">
        <v>0</v>
      </c>
    </row>
    <row r="765" spans="23:24" x14ac:dyDescent="0.3">
      <c r="W765">
        <f t="shared" si="27"/>
        <v>7.6299999999998818</v>
      </c>
      <c r="X765">
        <v>0</v>
      </c>
    </row>
    <row r="766" spans="23:24" x14ac:dyDescent="0.3">
      <c r="W766">
        <f t="shared" si="27"/>
        <v>7.6399999999998816</v>
      </c>
      <c r="X766">
        <v>0</v>
      </c>
    </row>
    <row r="767" spans="23:24" x14ac:dyDescent="0.3">
      <c r="W767">
        <f t="shared" si="27"/>
        <v>7.6499999999998813</v>
      </c>
      <c r="X767">
        <v>0</v>
      </c>
    </row>
    <row r="768" spans="23:24" x14ac:dyDescent="0.3">
      <c r="W768">
        <f t="shared" si="27"/>
        <v>7.6599999999998811</v>
      </c>
      <c r="X768">
        <v>0</v>
      </c>
    </row>
    <row r="769" spans="23:24" x14ac:dyDescent="0.3">
      <c r="W769">
        <f t="shared" si="27"/>
        <v>7.6699999999998809</v>
      </c>
      <c r="X769">
        <v>0</v>
      </c>
    </row>
    <row r="770" spans="23:24" x14ac:dyDescent="0.3">
      <c r="W770">
        <f t="shared" si="27"/>
        <v>7.6799999999998807</v>
      </c>
      <c r="X770">
        <v>0</v>
      </c>
    </row>
    <row r="771" spans="23:24" x14ac:dyDescent="0.3">
      <c r="W771">
        <f t="shared" si="27"/>
        <v>7.6899999999998805</v>
      </c>
      <c r="X771">
        <v>0</v>
      </c>
    </row>
    <row r="772" spans="23:24" x14ac:dyDescent="0.3">
      <c r="W772">
        <f t="shared" ref="W772:W812" si="28">W771+0.01</f>
        <v>7.6999999999998803</v>
      </c>
      <c r="X772">
        <v>0</v>
      </c>
    </row>
    <row r="773" spans="23:24" x14ac:dyDescent="0.3">
      <c r="W773">
        <f t="shared" si="28"/>
        <v>7.7099999999998801</v>
      </c>
      <c r="X773">
        <v>0</v>
      </c>
    </row>
    <row r="774" spans="23:24" x14ac:dyDescent="0.3">
      <c r="W774">
        <f t="shared" si="28"/>
        <v>7.7199999999998798</v>
      </c>
      <c r="X774">
        <v>0</v>
      </c>
    </row>
    <row r="775" spans="23:24" x14ac:dyDescent="0.3">
      <c r="W775">
        <f t="shared" si="28"/>
        <v>7.7299999999998796</v>
      </c>
      <c r="X775">
        <v>0</v>
      </c>
    </row>
    <row r="776" spans="23:24" x14ac:dyDescent="0.3">
      <c r="W776">
        <f t="shared" si="28"/>
        <v>7.7399999999998794</v>
      </c>
      <c r="X776">
        <v>0</v>
      </c>
    </row>
    <row r="777" spans="23:24" x14ac:dyDescent="0.3">
      <c r="W777">
        <f t="shared" si="28"/>
        <v>7.7499999999998792</v>
      </c>
      <c r="X777">
        <v>0</v>
      </c>
    </row>
    <row r="778" spans="23:24" x14ac:dyDescent="0.3">
      <c r="W778">
        <f t="shared" si="28"/>
        <v>7.759999999999879</v>
      </c>
      <c r="X778">
        <v>0</v>
      </c>
    </row>
    <row r="779" spans="23:24" x14ac:dyDescent="0.3">
      <c r="W779">
        <f t="shared" si="28"/>
        <v>7.7699999999998788</v>
      </c>
      <c r="X779">
        <v>0</v>
      </c>
    </row>
    <row r="780" spans="23:24" x14ac:dyDescent="0.3">
      <c r="W780">
        <f t="shared" si="28"/>
        <v>7.7799999999998786</v>
      </c>
      <c r="X780">
        <v>0</v>
      </c>
    </row>
    <row r="781" spans="23:24" x14ac:dyDescent="0.3">
      <c r="W781">
        <f t="shared" si="28"/>
        <v>7.7899999999998784</v>
      </c>
      <c r="X781">
        <v>0</v>
      </c>
    </row>
    <row r="782" spans="23:24" x14ac:dyDescent="0.3">
      <c r="W782">
        <f t="shared" si="28"/>
        <v>7.7999999999998781</v>
      </c>
      <c r="X782">
        <v>0</v>
      </c>
    </row>
    <row r="783" spans="23:24" x14ac:dyDescent="0.3">
      <c r="W783">
        <f t="shared" si="28"/>
        <v>7.8099999999998779</v>
      </c>
      <c r="X783">
        <v>0</v>
      </c>
    </row>
    <row r="784" spans="23:24" x14ac:dyDescent="0.3">
      <c r="W784">
        <f t="shared" si="28"/>
        <v>7.8199999999998777</v>
      </c>
      <c r="X784">
        <v>0</v>
      </c>
    </row>
    <row r="785" spans="23:24" x14ac:dyDescent="0.3">
      <c r="W785">
        <f t="shared" si="28"/>
        <v>7.8299999999998775</v>
      </c>
      <c r="X785">
        <v>0</v>
      </c>
    </row>
    <row r="786" spans="23:24" x14ac:dyDescent="0.3">
      <c r="W786">
        <f t="shared" si="28"/>
        <v>7.8399999999998773</v>
      </c>
      <c r="X786">
        <v>0</v>
      </c>
    </row>
    <row r="787" spans="23:24" x14ac:dyDescent="0.3">
      <c r="W787">
        <f t="shared" si="28"/>
        <v>7.8499999999998771</v>
      </c>
      <c r="X787">
        <v>0</v>
      </c>
    </row>
    <row r="788" spans="23:24" x14ac:dyDescent="0.3">
      <c r="W788">
        <f t="shared" si="28"/>
        <v>7.8599999999998769</v>
      </c>
      <c r="X788">
        <v>0</v>
      </c>
    </row>
    <row r="789" spans="23:24" x14ac:dyDescent="0.3">
      <c r="W789">
        <f t="shared" si="28"/>
        <v>7.8699999999998766</v>
      </c>
      <c r="X789">
        <v>0</v>
      </c>
    </row>
    <row r="790" spans="23:24" x14ac:dyDescent="0.3">
      <c r="W790">
        <f t="shared" si="28"/>
        <v>7.8799999999998764</v>
      </c>
      <c r="X790">
        <v>0</v>
      </c>
    </row>
    <row r="791" spans="23:24" x14ac:dyDescent="0.3">
      <c r="W791">
        <f t="shared" si="28"/>
        <v>7.8899999999998762</v>
      </c>
      <c r="X791">
        <v>0</v>
      </c>
    </row>
    <row r="792" spans="23:24" x14ac:dyDescent="0.3">
      <c r="W792">
        <f t="shared" si="28"/>
        <v>7.899999999999876</v>
      </c>
      <c r="X792">
        <v>0</v>
      </c>
    </row>
    <row r="793" spans="23:24" x14ac:dyDescent="0.3">
      <c r="W793">
        <f t="shared" si="28"/>
        <v>7.9099999999998758</v>
      </c>
      <c r="X793">
        <v>0</v>
      </c>
    </row>
    <row r="794" spans="23:24" x14ac:dyDescent="0.3">
      <c r="W794">
        <f t="shared" si="28"/>
        <v>7.9199999999998756</v>
      </c>
      <c r="X794">
        <v>0</v>
      </c>
    </row>
    <row r="795" spans="23:24" x14ac:dyDescent="0.3">
      <c r="W795">
        <f t="shared" si="28"/>
        <v>7.9299999999998754</v>
      </c>
      <c r="X795">
        <v>0</v>
      </c>
    </row>
    <row r="796" spans="23:24" x14ac:dyDescent="0.3">
      <c r="W796">
        <f t="shared" si="28"/>
        <v>7.9399999999998752</v>
      </c>
      <c r="X796">
        <v>0</v>
      </c>
    </row>
    <row r="797" spans="23:24" x14ac:dyDescent="0.3">
      <c r="W797">
        <f t="shared" si="28"/>
        <v>7.9499999999998749</v>
      </c>
      <c r="X797">
        <v>0</v>
      </c>
    </row>
    <row r="798" spans="23:24" x14ac:dyDescent="0.3">
      <c r="W798">
        <f t="shared" si="28"/>
        <v>7.9599999999998747</v>
      </c>
      <c r="X798">
        <v>0</v>
      </c>
    </row>
    <row r="799" spans="23:24" x14ac:dyDescent="0.3">
      <c r="W799">
        <f t="shared" si="28"/>
        <v>7.9699999999998745</v>
      </c>
      <c r="X799">
        <v>0</v>
      </c>
    </row>
    <row r="800" spans="23:24" x14ac:dyDescent="0.3">
      <c r="W800">
        <f t="shared" si="28"/>
        <v>7.9799999999998743</v>
      </c>
      <c r="X800">
        <v>0</v>
      </c>
    </row>
    <row r="801" spans="23:24" x14ac:dyDescent="0.3">
      <c r="W801">
        <f t="shared" si="28"/>
        <v>7.9899999999998741</v>
      </c>
      <c r="X801">
        <v>0</v>
      </c>
    </row>
    <row r="802" spans="23:24" x14ac:dyDescent="0.3">
      <c r="W802">
        <f t="shared" si="28"/>
        <v>7.9999999999998739</v>
      </c>
      <c r="X802">
        <v>0</v>
      </c>
    </row>
  </sheetData>
  <sortState xmlns:xlrd2="http://schemas.microsoft.com/office/spreadsheetml/2017/richdata2" ref="X2:Y602">
    <sortCondition descending="1" ref="Y2:Y60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5B47-5F66-4A55-8503-C52B12E3E524}">
  <dimension ref="A1:AC1004"/>
  <sheetViews>
    <sheetView topLeftCell="E1" zoomScaleNormal="100" workbookViewId="0">
      <selection activeCell="U1" sqref="U1"/>
    </sheetView>
  </sheetViews>
  <sheetFormatPr defaultRowHeight="14.4" x14ac:dyDescent="0.3"/>
  <sheetData>
    <row r="1" spans="1:29" x14ac:dyDescent="0.3">
      <c r="B1" t="s">
        <v>23</v>
      </c>
      <c r="C1" t="s">
        <v>22</v>
      </c>
      <c r="E1" t="s">
        <v>27</v>
      </c>
      <c r="F1" t="s">
        <v>21</v>
      </c>
      <c r="G1" t="s">
        <v>22</v>
      </c>
      <c r="H1" t="s">
        <v>28</v>
      </c>
      <c r="I1" t="s">
        <v>29</v>
      </c>
      <c r="Y1" t="s">
        <v>27</v>
      </c>
      <c r="Z1" t="s">
        <v>21</v>
      </c>
      <c r="AA1" t="s">
        <v>22</v>
      </c>
      <c r="AB1" t="s">
        <v>28</v>
      </c>
      <c r="AC1" t="s">
        <v>29</v>
      </c>
    </row>
    <row r="2" spans="1:29" x14ac:dyDescent="0.3">
      <c r="A2" t="s">
        <v>24</v>
      </c>
      <c r="B2">
        <v>1.5</v>
      </c>
      <c r="C2">
        <v>5</v>
      </c>
      <c r="E2">
        <v>1</v>
      </c>
      <c r="F2">
        <v>0</v>
      </c>
      <c r="G2">
        <v>0</v>
      </c>
      <c r="H2">
        <v>0</v>
      </c>
      <c r="I2">
        <v>1</v>
      </c>
      <c r="Y2">
        <v>1</v>
      </c>
      <c r="Z2">
        <v>0</v>
      </c>
      <c r="AA2">
        <v>0</v>
      </c>
      <c r="AB2">
        <v>0</v>
      </c>
      <c r="AC2">
        <v>1</v>
      </c>
    </row>
    <row r="3" spans="1:29" x14ac:dyDescent="0.3">
      <c r="A3" t="s">
        <v>25</v>
      </c>
      <c r="B3">
        <v>1</v>
      </c>
      <c r="C3">
        <v>0</v>
      </c>
      <c r="E3">
        <v>2</v>
      </c>
      <c r="F3">
        <v>0.01</v>
      </c>
      <c r="G3">
        <v>0.20875107510077309</v>
      </c>
      <c r="H3">
        <v>0</v>
      </c>
      <c r="I3">
        <v>2</v>
      </c>
      <c r="Y3">
        <v>6</v>
      </c>
      <c r="Z3">
        <v>0.05</v>
      </c>
      <c r="AA3">
        <v>1.0240814450381757</v>
      </c>
      <c r="AB3">
        <v>0</v>
      </c>
      <c r="AC3">
        <v>1</v>
      </c>
    </row>
    <row r="4" spans="1:29" x14ac:dyDescent="0.3">
      <c r="A4" t="s">
        <v>26</v>
      </c>
      <c r="B4">
        <v>0.5</v>
      </c>
      <c r="C4">
        <v>-5</v>
      </c>
      <c r="E4">
        <v>3</v>
      </c>
      <c r="F4">
        <v>0.02</v>
      </c>
      <c r="G4">
        <v>0.41588639732806204</v>
      </c>
      <c r="H4">
        <v>0</v>
      </c>
      <c r="I4">
        <v>3</v>
      </c>
      <c r="Y4">
        <v>11</v>
      </c>
      <c r="Z4">
        <v>9.9999999999999992E-2</v>
      </c>
      <c r="AA4">
        <v>1.9735787930171198</v>
      </c>
      <c r="AB4">
        <v>0</v>
      </c>
      <c r="AC4">
        <v>1</v>
      </c>
    </row>
    <row r="5" spans="1:29" x14ac:dyDescent="0.3">
      <c r="E5">
        <v>4</v>
      </c>
      <c r="F5">
        <v>0.03</v>
      </c>
      <c r="G5">
        <v>0.62105147632199176</v>
      </c>
      <c r="H5">
        <v>0</v>
      </c>
      <c r="I5">
        <v>4</v>
      </c>
      <c r="Y5">
        <v>16</v>
      </c>
      <c r="Z5">
        <v>0.15</v>
      </c>
      <c r="AA5">
        <v>2.8096061052511883</v>
      </c>
      <c r="AB5">
        <v>0</v>
      </c>
      <c r="AC5">
        <v>1</v>
      </c>
    </row>
    <row r="6" spans="1:29" x14ac:dyDescent="0.3">
      <c r="E6">
        <v>5</v>
      </c>
      <c r="F6">
        <v>0.04</v>
      </c>
      <c r="G6">
        <v>0.82389740609808326</v>
      </c>
      <c r="H6">
        <v>0</v>
      </c>
      <c r="I6">
        <v>5</v>
      </c>
      <c r="Y6">
        <v>21</v>
      </c>
      <c r="Z6">
        <v>0.20000000000000004</v>
      </c>
      <c r="AA6">
        <v>3.4993371997563307</v>
      </c>
      <c r="AB6">
        <v>0</v>
      </c>
      <c r="AC6">
        <v>1</v>
      </c>
    </row>
    <row r="7" spans="1:29" x14ac:dyDescent="0.3">
      <c r="E7">
        <v>6</v>
      </c>
      <c r="F7">
        <v>0.05</v>
      </c>
      <c r="G7">
        <v>1.0240814450381757</v>
      </c>
      <c r="H7">
        <v>0</v>
      </c>
      <c r="I7">
        <v>1</v>
      </c>
      <c r="Y7">
        <v>26</v>
      </c>
      <c r="Z7">
        <v>0.25000000000000006</v>
      </c>
      <c r="AA7">
        <v>4.0172471367803393</v>
      </c>
      <c r="AB7">
        <v>0</v>
      </c>
      <c r="AC7">
        <v>1</v>
      </c>
    </row>
    <row r="8" spans="1:29" x14ac:dyDescent="0.3">
      <c r="E8">
        <v>7</v>
      </c>
      <c r="F8">
        <v>6.0000000000000005E-2</v>
      </c>
      <c r="G8">
        <v>1.2212675815745155</v>
      </c>
      <c r="H8">
        <v>0</v>
      </c>
      <c r="I8">
        <v>2</v>
      </c>
      <c r="Y8">
        <v>31</v>
      </c>
      <c r="Z8">
        <v>0.3000000000000001</v>
      </c>
      <c r="AA8">
        <v>4.3460010459877747</v>
      </c>
      <c r="AB8">
        <v>0</v>
      </c>
      <c r="AC8">
        <v>1</v>
      </c>
    </row>
    <row r="9" spans="1:29" x14ac:dyDescent="0.3">
      <c r="E9">
        <v>8</v>
      </c>
      <c r="F9">
        <v>7.0000000000000007E-2</v>
      </c>
      <c r="G9">
        <v>1.4151270846580788</v>
      </c>
      <c r="H9">
        <v>0</v>
      </c>
      <c r="I9">
        <v>3</v>
      </c>
      <c r="Y9">
        <v>36</v>
      </c>
      <c r="Z9">
        <v>0.35000000000000014</v>
      </c>
      <c r="AA9">
        <v>4.4769622532451434</v>
      </c>
      <c r="AB9">
        <v>0</v>
      </c>
      <c r="AC9">
        <v>1</v>
      </c>
    </row>
    <row r="10" spans="1:29" x14ac:dyDescent="0.3">
      <c r="E10">
        <v>9</v>
      </c>
      <c r="F10">
        <v>0.08</v>
      </c>
      <c r="G10">
        <v>1.6053390381344068</v>
      </c>
      <c r="H10">
        <v>0</v>
      </c>
      <c r="I10">
        <v>4</v>
      </c>
      <c r="Y10">
        <v>41</v>
      </c>
      <c r="Z10">
        <v>0.40000000000000019</v>
      </c>
      <c r="AA10">
        <v>4.4103089688240207</v>
      </c>
      <c r="AB10">
        <v>0</v>
      </c>
      <c r="AC10">
        <v>1</v>
      </c>
    </row>
    <row r="11" spans="1:29" x14ac:dyDescent="0.3">
      <c r="E11">
        <v>10</v>
      </c>
      <c r="F11">
        <v>0.09</v>
      </c>
      <c r="G11">
        <v>1.7915908581837463</v>
      </c>
      <c r="H11">
        <v>0</v>
      </c>
      <c r="I11">
        <v>5</v>
      </c>
      <c r="Y11">
        <v>46</v>
      </c>
      <c r="Z11">
        <v>0.45000000000000023</v>
      </c>
      <c r="AA11">
        <v>4.154766056008329</v>
      </c>
      <c r="AB11">
        <v>0</v>
      </c>
      <c r="AC11">
        <v>1</v>
      </c>
    </row>
    <row r="12" spans="1:29" x14ac:dyDescent="0.3">
      <c r="E12">
        <v>11</v>
      </c>
      <c r="F12">
        <v>9.9999999999999992E-2</v>
      </c>
      <c r="G12">
        <v>1.9735787930171198</v>
      </c>
      <c r="H12">
        <v>0</v>
      </c>
      <c r="I12">
        <v>1</v>
      </c>
      <c r="Y12">
        <v>51</v>
      </c>
      <c r="Z12">
        <v>0.50000000000000022</v>
      </c>
      <c r="AA12">
        <v>3.7269748641199874</v>
      </c>
      <c r="AB12">
        <v>0</v>
      </c>
      <c r="AC12">
        <v>1</v>
      </c>
    </row>
    <row r="13" spans="1:29" x14ac:dyDescent="0.3">
      <c r="E13">
        <v>12</v>
      </c>
      <c r="F13">
        <v>0.10999999999999999</v>
      </c>
      <c r="G13">
        <v>2.1510084040559789</v>
      </c>
      <c r="H13">
        <v>0</v>
      </c>
      <c r="I13">
        <v>2</v>
      </c>
      <c r="Y13">
        <v>56</v>
      </c>
      <c r="Z13">
        <v>0.55000000000000027</v>
      </c>
      <c r="AA13">
        <v>3.150539093738975</v>
      </c>
      <c r="AB13">
        <v>0</v>
      </c>
      <c r="AC13">
        <v>1</v>
      </c>
    </row>
    <row r="14" spans="1:29" x14ac:dyDescent="0.3">
      <c r="E14">
        <v>13</v>
      </c>
      <c r="F14">
        <v>0.11999999999999998</v>
      </c>
      <c r="G14">
        <v>2.3235950278602573</v>
      </c>
      <c r="H14">
        <v>0</v>
      </c>
      <c r="I14">
        <v>3</v>
      </c>
      <c r="Y14">
        <v>61</v>
      </c>
      <c r="Z14">
        <v>0.60000000000000031</v>
      </c>
      <c r="AA14">
        <v>2.4547975597338052</v>
      </c>
      <c r="AB14">
        <v>0</v>
      </c>
      <c r="AC14">
        <v>1</v>
      </c>
    </row>
    <row r="15" spans="1:29" x14ac:dyDescent="0.3">
      <c r="E15">
        <v>14</v>
      </c>
      <c r="F15">
        <v>0.12999999999999998</v>
      </c>
      <c r="G15">
        <v>2.4910642181078968</v>
      </c>
      <c r="H15">
        <v>0</v>
      </c>
      <c r="I15">
        <v>4</v>
      </c>
      <c r="Y15">
        <v>66</v>
      </c>
      <c r="Z15">
        <v>0.65000000000000036</v>
      </c>
      <c r="AA15">
        <v>1.6733850331206386</v>
      </c>
      <c r="AB15">
        <v>0</v>
      </c>
      <c r="AC15">
        <v>1</v>
      </c>
    </row>
    <row r="16" spans="1:29" x14ac:dyDescent="0.3">
      <c r="E16">
        <v>15</v>
      </c>
      <c r="F16">
        <v>0.13999999999999999</v>
      </c>
      <c r="G16">
        <v>2.6531521669681624</v>
      </c>
      <c r="H16">
        <v>0</v>
      </c>
      <c r="I16">
        <v>5</v>
      </c>
      <c r="Y16">
        <v>71</v>
      </c>
      <c r="Z16">
        <v>0.7000000000000004</v>
      </c>
      <c r="AA16">
        <v>0.84264970564949337</v>
      </c>
      <c r="AB16">
        <v>0</v>
      </c>
      <c r="AC16">
        <v>1</v>
      </c>
    </row>
    <row r="17" spans="5:29" x14ac:dyDescent="0.3">
      <c r="E17">
        <v>16</v>
      </c>
      <c r="F17">
        <v>0.15</v>
      </c>
      <c r="G17">
        <v>2.8096061052511883</v>
      </c>
      <c r="H17">
        <v>0</v>
      </c>
      <c r="I17">
        <v>1</v>
      </c>
      <c r="Y17">
        <v>76</v>
      </c>
      <c r="Z17">
        <v>0.75000000000000044</v>
      </c>
      <c r="AA17">
        <v>-6.603098277009967E-15</v>
      </c>
      <c r="AB17">
        <v>0</v>
      </c>
      <c r="AC17">
        <v>1</v>
      </c>
    </row>
    <row r="18" spans="5:29" x14ac:dyDescent="0.3">
      <c r="E18">
        <v>17</v>
      </c>
      <c r="F18">
        <v>0.16</v>
      </c>
      <c r="G18">
        <v>2.9601846807572589</v>
      </c>
      <c r="H18">
        <v>0</v>
      </c>
      <c r="I18">
        <v>2</v>
      </c>
      <c r="Y18">
        <v>81</v>
      </c>
      <c r="Z18">
        <v>0.80000000000000049</v>
      </c>
      <c r="AA18">
        <v>-0.81774564319352872</v>
      </c>
      <c r="AB18">
        <v>0</v>
      </c>
      <c r="AC18">
        <v>1</v>
      </c>
    </row>
    <row r="19" spans="5:29" x14ac:dyDescent="0.3">
      <c r="E19">
        <v>18</v>
      </c>
      <c r="F19">
        <v>0.17</v>
      </c>
      <c r="G19">
        <v>3.1046583142910649</v>
      </c>
      <c r="H19">
        <v>0</v>
      </c>
      <c r="I19">
        <v>3</v>
      </c>
      <c r="Y19">
        <v>86</v>
      </c>
      <c r="Z19">
        <v>0.85000000000000053</v>
      </c>
      <c r="AA19">
        <v>-1.5759346752237338</v>
      </c>
      <c r="AB19">
        <v>0</v>
      </c>
      <c r="AC19">
        <v>1</v>
      </c>
    </row>
    <row r="20" spans="5:29" x14ac:dyDescent="0.3">
      <c r="E20">
        <v>19</v>
      </c>
      <c r="F20">
        <v>0.18000000000000002</v>
      </c>
      <c r="G20">
        <v>3.2428095328486362</v>
      </c>
      <c r="H20">
        <v>0</v>
      </c>
      <c r="I20">
        <v>4</v>
      </c>
      <c r="Y20">
        <v>91</v>
      </c>
      <c r="Z20">
        <v>0.90000000000000058</v>
      </c>
      <c r="AA20">
        <v>-2.2435160433684449</v>
      </c>
      <c r="AB20">
        <v>0</v>
      </c>
      <c r="AC20">
        <v>1</v>
      </c>
    </row>
    <row r="21" spans="5:29" x14ac:dyDescent="0.3">
      <c r="E21">
        <v>20</v>
      </c>
      <c r="F21">
        <v>0.19000000000000003</v>
      </c>
      <c r="G21">
        <v>3.3744332795277709</v>
      </c>
      <c r="H21">
        <v>0</v>
      </c>
      <c r="I21">
        <v>5</v>
      </c>
      <c r="Y21">
        <v>96</v>
      </c>
      <c r="Z21">
        <v>0.95000000000000062</v>
      </c>
      <c r="AA21">
        <v>-2.7942775089134573</v>
      </c>
      <c r="AB21">
        <v>0</v>
      </c>
      <c r="AC21">
        <v>1</v>
      </c>
    </row>
    <row r="22" spans="5:29" x14ac:dyDescent="0.3">
      <c r="E22">
        <v>21</v>
      </c>
      <c r="F22">
        <v>0.20000000000000004</v>
      </c>
      <c r="G22">
        <v>3.4993371997563307</v>
      </c>
      <c r="H22">
        <v>0</v>
      </c>
      <c r="I22">
        <v>1</v>
      </c>
      <c r="Y22">
        <v>101</v>
      </c>
      <c r="Z22">
        <v>1.0000000000000007</v>
      </c>
      <c r="AA22">
        <v>-3.2078369934837756</v>
      </c>
      <c r="AB22">
        <v>0</v>
      </c>
      <c r="AC22">
        <v>1</v>
      </c>
    </row>
    <row r="23" spans="5:29" x14ac:dyDescent="0.3">
      <c r="E23">
        <v>22</v>
      </c>
      <c r="F23">
        <v>0.21000000000000005</v>
      </c>
      <c r="G23">
        <v>3.6173419034768903</v>
      </c>
      <c r="H23">
        <v>0</v>
      </c>
      <c r="I23">
        <v>2</v>
      </c>
      <c r="Y23">
        <v>106</v>
      </c>
      <c r="Z23">
        <v>1.0500000000000007</v>
      </c>
      <c r="AA23">
        <v>-3.4703523219664563</v>
      </c>
      <c r="AB23">
        <v>0</v>
      </c>
      <c r="AC23">
        <v>1</v>
      </c>
    </row>
    <row r="24" spans="5:29" x14ac:dyDescent="0.3">
      <c r="E24">
        <v>23</v>
      </c>
      <c r="F24">
        <v>0.22000000000000006</v>
      </c>
      <c r="G24">
        <v>3.7282812029706172</v>
      </c>
      <c r="H24">
        <v>0</v>
      </c>
      <c r="I24">
        <v>3</v>
      </c>
      <c r="Y24">
        <v>111</v>
      </c>
      <c r="Z24">
        <v>1.1000000000000008</v>
      </c>
      <c r="AA24">
        <v>-3.5749269699897726</v>
      </c>
      <c r="AB24">
        <v>0</v>
      </c>
      <c r="AC24">
        <v>1</v>
      </c>
    </row>
    <row r="25" spans="5:29" x14ac:dyDescent="0.3">
      <c r="E25">
        <v>24</v>
      </c>
      <c r="F25">
        <v>0.23000000000000007</v>
      </c>
      <c r="G25">
        <v>3.8320023260480069</v>
      </c>
      <c r="H25">
        <v>0</v>
      </c>
      <c r="I25">
        <v>4</v>
      </c>
      <c r="Y25">
        <v>116</v>
      </c>
      <c r="Z25">
        <v>1.1500000000000008</v>
      </c>
      <c r="AA25">
        <v>-3.5217032413459228</v>
      </c>
      <c r="AB25">
        <v>0</v>
      </c>
      <c r="AC25">
        <v>1</v>
      </c>
    </row>
    <row r="26" spans="5:29" x14ac:dyDescent="0.3">
      <c r="E26">
        <v>25</v>
      </c>
      <c r="F26">
        <v>0.24000000000000007</v>
      </c>
      <c r="G26">
        <v>3.9283661043790357</v>
      </c>
      <c r="H26">
        <v>0</v>
      </c>
      <c r="I26">
        <v>5</v>
      </c>
      <c r="Y26">
        <v>121</v>
      </c>
      <c r="Z26">
        <v>1.2000000000000008</v>
      </c>
      <c r="AA26">
        <v>-3.3176480808735778</v>
      </c>
      <c r="AB26">
        <v>0</v>
      </c>
      <c r="AC26">
        <v>1</v>
      </c>
    </row>
    <row r="27" spans="5:29" x14ac:dyDescent="0.3">
      <c r="E27">
        <v>26</v>
      </c>
      <c r="F27">
        <v>0.25000000000000006</v>
      </c>
      <c r="G27">
        <v>4.0172471367803393</v>
      </c>
      <c r="H27">
        <v>0</v>
      </c>
      <c r="I27">
        <v>1</v>
      </c>
      <c r="Y27">
        <v>126</v>
      </c>
      <c r="Z27">
        <v>1.2500000000000009</v>
      </c>
      <c r="AA27">
        <v>-2.9760498759083296</v>
      </c>
      <c r="AB27">
        <v>0</v>
      </c>
      <c r="AC27">
        <v>1</v>
      </c>
    </row>
    <row r="28" spans="5:29" x14ac:dyDescent="0.3">
      <c r="E28">
        <v>27</v>
      </c>
      <c r="F28">
        <v>0.26000000000000006</v>
      </c>
      <c r="G28">
        <v>4.0985339273221628</v>
      </c>
      <c r="H28">
        <v>0</v>
      </c>
      <c r="I28">
        <v>2</v>
      </c>
      <c r="Y28">
        <v>131</v>
      </c>
      <c r="Z28">
        <v>1.3000000000000009</v>
      </c>
      <c r="AA28">
        <v>-2.5157565641860358</v>
      </c>
      <c r="AB28">
        <v>0</v>
      </c>
      <c r="AC28">
        <v>1</v>
      </c>
    </row>
    <row r="29" spans="5:29" x14ac:dyDescent="0.3">
      <c r="E29">
        <v>28</v>
      </c>
      <c r="F29">
        <v>0.27000000000000007</v>
      </c>
      <c r="G29">
        <v>4.172128998162913</v>
      </c>
      <c r="H29">
        <v>0</v>
      </c>
      <c r="I29">
        <v>3</v>
      </c>
      <c r="Y29">
        <v>136</v>
      </c>
      <c r="Z29">
        <v>1.350000000000001</v>
      </c>
      <c r="AA29">
        <v>-1.9601956652183778</v>
      </c>
      <c r="AB29">
        <v>0</v>
      </c>
      <c r="AC29">
        <v>1</v>
      </c>
    </row>
    <row r="30" spans="5:29" x14ac:dyDescent="0.3">
      <c r="E30">
        <v>29</v>
      </c>
      <c r="F30">
        <v>0.28000000000000008</v>
      </c>
      <c r="G30">
        <v>4.2379489770641268</v>
      </c>
      <c r="H30">
        <v>0</v>
      </c>
      <c r="I30">
        <v>4</v>
      </c>
      <c r="Y30">
        <v>141</v>
      </c>
      <c r="Z30">
        <v>1.400000000000001</v>
      </c>
      <c r="AA30">
        <v>-1.3362250891760179</v>
      </c>
      <c r="AB30">
        <v>0</v>
      </c>
      <c r="AC30">
        <v>1</v>
      </c>
    </row>
    <row r="31" spans="5:29" x14ac:dyDescent="0.3">
      <c r="E31">
        <v>30</v>
      </c>
      <c r="F31">
        <v>0.29000000000000009</v>
      </c>
      <c r="G31">
        <v>4.2959246595834495</v>
      </c>
      <c r="H31">
        <v>0</v>
      </c>
      <c r="I31">
        <v>5</v>
      </c>
      <c r="Y31">
        <v>146</v>
      </c>
      <c r="Z31">
        <v>1.4500000000000011</v>
      </c>
      <c r="AA31">
        <v>-0.67286945669392595</v>
      </c>
      <c r="AB31">
        <v>0</v>
      </c>
      <c r="AC31">
        <v>1</v>
      </c>
    </row>
    <row r="32" spans="5:29" x14ac:dyDescent="0.3">
      <c r="E32">
        <v>31</v>
      </c>
      <c r="F32">
        <v>0.3000000000000001</v>
      </c>
      <c r="G32">
        <v>4.3460010459877747</v>
      </c>
      <c r="H32">
        <v>0</v>
      </c>
      <c r="I32">
        <v>1</v>
      </c>
      <c r="Y32">
        <v>151</v>
      </c>
      <c r="Z32">
        <v>1.5000000000000011</v>
      </c>
      <c r="AA32">
        <v>1.3376999956827804E-14</v>
      </c>
      <c r="AB32">
        <v>0</v>
      </c>
      <c r="AC32">
        <v>1</v>
      </c>
    </row>
    <row r="33" spans="5:29" x14ac:dyDescent="0.3">
      <c r="E33">
        <v>32</v>
      </c>
      <c r="F33">
        <v>0.31000000000000011</v>
      </c>
      <c r="G33">
        <v>4.3881373529728682</v>
      </c>
      <c r="H33">
        <v>0</v>
      </c>
      <c r="I33">
        <v>2</v>
      </c>
      <c r="Y33">
        <v>156</v>
      </c>
      <c r="Z33">
        <v>1.5500000000000012</v>
      </c>
      <c r="AA33">
        <v>0.65298315890986025</v>
      </c>
      <c r="AB33">
        <v>0</v>
      </c>
      <c r="AC33">
        <v>1</v>
      </c>
    </row>
    <row r="34" spans="5:29" x14ac:dyDescent="0.3">
      <c r="E34">
        <v>33</v>
      </c>
      <c r="F34">
        <v>0.32000000000000012</v>
      </c>
      <c r="G34">
        <v>4.422307000319579</v>
      </c>
      <c r="H34">
        <v>0</v>
      </c>
      <c r="I34">
        <v>3</v>
      </c>
      <c r="Y34">
        <v>161</v>
      </c>
      <c r="Z34">
        <v>1.6000000000000012</v>
      </c>
      <c r="AA34">
        <v>1.2584093978714497</v>
      </c>
      <c r="AB34">
        <v>0</v>
      </c>
      <c r="AC34">
        <v>1</v>
      </c>
    </row>
    <row r="35" spans="5:29" x14ac:dyDescent="0.3">
      <c r="E35">
        <v>34</v>
      </c>
      <c r="F35">
        <v>0.33000000000000013</v>
      </c>
      <c r="G35">
        <v>4.4484975726600444</v>
      </c>
      <c r="H35">
        <v>0</v>
      </c>
      <c r="I35">
        <v>4</v>
      </c>
      <c r="Y35">
        <v>166</v>
      </c>
      <c r="Z35">
        <v>1.6500000000000012</v>
      </c>
      <c r="AA35">
        <v>1.791483947676574</v>
      </c>
      <c r="AB35">
        <v>0</v>
      </c>
      <c r="AC35">
        <v>1</v>
      </c>
    </row>
    <row r="36" spans="5:29" x14ac:dyDescent="0.3">
      <c r="E36">
        <v>35</v>
      </c>
      <c r="F36">
        <v>0.34000000000000014</v>
      </c>
      <c r="G36">
        <v>4.4667107565699551</v>
      </c>
      <c r="H36">
        <v>0</v>
      </c>
      <c r="I36">
        <v>5</v>
      </c>
      <c r="Y36">
        <v>171</v>
      </c>
      <c r="Z36">
        <v>1.7000000000000013</v>
      </c>
      <c r="AA36">
        <v>2.2312759105819508</v>
      </c>
      <c r="AB36">
        <v>0</v>
      </c>
      <c r="AC36">
        <v>1</v>
      </c>
    </row>
    <row r="37" spans="5:29" x14ac:dyDescent="0.3">
      <c r="E37">
        <v>36</v>
      </c>
      <c r="F37">
        <v>0.35000000000000014</v>
      </c>
      <c r="G37">
        <v>4.4769622532451434</v>
      </c>
      <c r="H37">
        <v>0</v>
      </c>
      <c r="I37">
        <v>1</v>
      </c>
      <c r="Y37">
        <v>176</v>
      </c>
      <c r="Z37">
        <v>1.7500000000000013</v>
      </c>
      <c r="AA37">
        <v>2.5615098664331164</v>
      </c>
      <c r="AB37">
        <v>0</v>
      </c>
      <c r="AC37">
        <v>1</v>
      </c>
    </row>
    <row r="38" spans="5:29" x14ac:dyDescent="0.3">
      <c r="E38">
        <v>37</v>
      </c>
      <c r="F38">
        <v>0.36000000000000015</v>
      </c>
      <c r="G38">
        <v>4.4792816670619988</v>
      </c>
      <c r="H38">
        <v>0</v>
      </c>
      <c r="I38">
        <v>2</v>
      </c>
      <c r="Y38">
        <v>181</v>
      </c>
      <c r="Z38">
        <v>1.8000000000000014</v>
      </c>
      <c r="AA38">
        <v>2.7711326138994821</v>
      </c>
      <c r="AB38">
        <v>0</v>
      </c>
      <c r="AC38">
        <v>1</v>
      </c>
    </row>
    <row r="39" spans="5:29" x14ac:dyDescent="0.3">
      <c r="E39">
        <v>38</v>
      </c>
      <c r="F39">
        <v>0.37000000000000016</v>
      </c>
      <c r="G39">
        <v>4.4737123703619481</v>
      </c>
      <c r="H39">
        <v>0</v>
      </c>
      <c r="I39">
        <v>3</v>
      </c>
      <c r="Y39">
        <v>186</v>
      </c>
      <c r="Z39">
        <v>1.8500000000000014</v>
      </c>
      <c r="AA39">
        <v>2.8546371664171506</v>
      </c>
      <c r="AB39">
        <v>0</v>
      </c>
      <c r="AC39">
        <v>1</v>
      </c>
    </row>
    <row r="40" spans="5:29" x14ac:dyDescent="0.3">
      <c r="E40">
        <v>39</v>
      </c>
      <c r="F40">
        <v>0.38000000000000017</v>
      </c>
      <c r="G40">
        <v>4.4603113448399139</v>
      </c>
      <c r="H40">
        <v>0</v>
      </c>
      <c r="I40">
        <v>4</v>
      </c>
      <c r="Y40">
        <v>191</v>
      </c>
      <c r="Z40">
        <v>1.9000000000000015</v>
      </c>
      <c r="AA40">
        <v>2.8121371558721866</v>
      </c>
      <c r="AB40">
        <v>0</v>
      </c>
      <c r="AC40">
        <v>1</v>
      </c>
    </row>
    <row r="41" spans="5:29" x14ac:dyDescent="0.3">
      <c r="E41">
        <v>40</v>
      </c>
      <c r="F41">
        <v>0.39000000000000018</v>
      </c>
      <c r="G41">
        <v>4.4391489999555569</v>
      </c>
      <c r="H41">
        <v>0</v>
      </c>
      <c r="I41">
        <v>5</v>
      </c>
      <c r="Y41">
        <v>196</v>
      </c>
      <c r="Z41">
        <v>1.9500000000000015</v>
      </c>
      <c r="AA41">
        <v>2.6491958007134713</v>
      </c>
      <c r="AB41">
        <v>0</v>
      </c>
      <c r="AC41">
        <v>1</v>
      </c>
    </row>
    <row r="42" spans="5:29" x14ac:dyDescent="0.3">
      <c r="E42">
        <v>41</v>
      </c>
      <c r="F42">
        <v>0.40000000000000019</v>
      </c>
      <c r="G42">
        <v>4.4103089688240207</v>
      </c>
      <c r="H42">
        <v>0</v>
      </c>
      <c r="I42">
        <v>1</v>
      </c>
      <c r="Y42">
        <v>201</v>
      </c>
      <c r="Z42">
        <v>2.0000000000000013</v>
      </c>
      <c r="AA42">
        <v>2.3764240937496286</v>
      </c>
      <c r="AB42">
        <v>0</v>
      </c>
      <c r="AC42">
        <v>1</v>
      </c>
    </row>
    <row r="43" spans="5:29" x14ac:dyDescent="0.3">
      <c r="E43">
        <v>42</v>
      </c>
      <c r="F43">
        <v>0.4100000000000002</v>
      </c>
      <c r="G43">
        <v>4.3738878820796989</v>
      </c>
      <c r="H43">
        <v>0</v>
      </c>
      <c r="I43">
        <v>2</v>
      </c>
      <c r="Y43">
        <v>206</v>
      </c>
      <c r="Z43">
        <v>2.0500000000000003</v>
      </c>
      <c r="AA43">
        <v>2.0088724189529201</v>
      </c>
      <c r="AB43">
        <v>0</v>
      </c>
      <c r="AC43">
        <v>1</v>
      </c>
    </row>
    <row r="44" spans="5:29" x14ac:dyDescent="0.3">
      <c r="E44">
        <v>43</v>
      </c>
      <c r="F44">
        <v>0.42000000000000021</v>
      </c>
      <c r="G44">
        <v>4.3299951202423781</v>
      </c>
      <c r="H44">
        <v>0</v>
      </c>
      <c r="I44">
        <v>3</v>
      </c>
      <c r="Y44">
        <v>211</v>
      </c>
      <c r="Z44">
        <v>2.0999999999999992</v>
      </c>
      <c r="AA44">
        <v>1.5652480306187171</v>
      </c>
      <c r="AB44">
        <v>0</v>
      </c>
      <c r="AC44">
        <v>1</v>
      </c>
    </row>
    <row r="45" spans="5:29" x14ac:dyDescent="0.3">
      <c r="E45">
        <v>44</v>
      </c>
      <c r="F45">
        <v>0.43000000000000022</v>
      </c>
      <c r="G45">
        <v>4.2787525451496977</v>
      </c>
      <c r="H45">
        <v>0</v>
      </c>
      <c r="I45">
        <v>4</v>
      </c>
      <c r="Y45">
        <v>216</v>
      </c>
      <c r="Z45">
        <v>2.1499999999999981</v>
      </c>
      <c r="AA45">
        <v>1.066997405620276</v>
      </c>
      <c r="AB45">
        <v>0</v>
      </c>
      <c r="AC45">
        <v>1</v>
      </c>
    </row>
    <row r="46" spans="5:29" x14ac:dyDescent="0.3">
      <c r="E46">
        <v>45</v>
      </c>
      <c r="F46">
        <v>0.44000000000000022</v>
      </c>
      <c r="G46">
        <v>4.2202942110533144</v>
      </c>
      <c r="H46">
        <v>0</v>
      </c>
      <c r="I46">
        <v>5</v>
      </c>
      <c r="Y46">
        <v>221</v>
      </c>
      <c r="Z46">
        <v>2.1999999999999971</v>
      </c>
      <c r="AA46">
        <v>0.53729717427795376</v>
      </c>
      <c r="AB46">
        <v>0</v>
      </c>
      <c r="AC46">
        <v>1</v>
      </c>
    </row>
    <row r="47" spans="5:29" x14ac:dyDescent="0.3">
      <c r="E47">
        <v>46</v>
      </c>
      <c r="F47">
        <v>0.45000000000000023</v>
      </c>
      <c r="G47">
        <v>4.154766056008329</v>
      </c>
      <c r="H47">
        <v>0</v>
      </c>
      <c r="I47">
        <v>1</v>
      </c>
      <c r="Y47">
        <v>226</v>
      </c>
      <c r="Z47">
        <v>2.249999999999996</v>
      </c>
      <c r="AA47">
        <v>4.1635645356205934E-14</v>
      </c>
      <c r="AB47">
        <v>0</v>
      </c>
      <c r="AC47">
        <v>1</v>
      </c>
    </row>
    <row r="48" spans="5:29" x14ac:dyDescent="0.3">
      <c r="E48">
        <v>47</v>
      </c>
      <c r="F48">
        <v>0.46000000000000024</v>
      </c>
      <c r="G48">
        <v>4.0823255742164273</v>
      </c>
      <c r="H48">
        <v>0</v>
      </c>
      <c r="I48">
        <v>2</v>
      </c>
      <c r="Y48">
        <v>231</v>
      </c>
      <c r="Z48">
        <v>2.2999999999999949</v>
      </c>
      <c r="AA48">
        <v>-0.5214176429661902</v>
      </c>
      <c r="AB48">
        <v>0</v>
      </c>
      <c r="AC48">
        <v>1</v>
      </c>
    </row>
    <row r="49" spans="5:29" x14ac:dyDescent="0.3">
      <c r="E49">
        <v>48</v>
      </c>
      <c r="F49">
        <v>0.47000000000000025</v>
      </c>
      <c r="G49">
        <v>4.0031414700126966</v>
      </c>
      <c r="H49">
        <v>0</v>
      </c>
      <c r="I49">
        <v>3</v>
      </c>
      <c r="Y49">
        <v>236</v>
      </c>
      <c r="Z49">
        <v>2.3499999999999939</v>
      </c>
      <c r="AA49">
        <v>-1.0048603140395063</v>
      </c>
      <c r="AB49">
        <v>0</v>
      </c>
      <c r="AC49">
        <v>1</v>
      </c>
    </row>
    <row r="50" spans="5:29" x14ac:dyDescent="0.3">
      <c r="E50">
        <v>49</v>
      </c>
      <c r="F50">
        <v>0.48000000000000026</v>
      </c>
      <c r="G50">
        <v>3.9173932942142473</v>
      </c>
      <c r="H50">
        <v>0</v>
      </c>
      <c r="I50">
        <v>4</v>
      </c>
      <c r="Y50">
        <v>241</v>
      </c>
      <c r="Z50">
        <v>2.3999999999999928</v>
      </c>
      <c r="AA50">
        <v>-1.4305289878667546</v>
      </c>
      <c r="AB50">
        <v>0</v>
      </c>
      <c r="AC50">
        <v>1</v>
      </c>
    </row>
    <row r="51" spans="5:29" x14ac:dyDescent="0.3">
      <c r="E51">
        <v>50</v>
      </c>
      <c r="F51">
        <v>0.49000000000000027</v>
      </c>
      <c r="G51">
        <v>3.8252710635754656</v>
      </c>
      <c r="H51">
        <v>0</v>
      </c>
      <c r="I51">
        <v>5</v>
      </c>
      <c r="Y51">
        <v>246</v>
      </c>
      <c r="Z51">
        <v>2.4499999999999917</v>
      </c>
      <c r="AA51">
        <v>-1.7817100031267261</v>
      </c>
      <c r="AB51">
        <v>0</v>
      </c>
      <c r="AC51">
        <v>1</v>
      </c>
    </row>
    <row r="52" spans="5:29" x14ac:dyDescent="0.3">
      <c r="E52">
        <v>51</v>
      </c>
      <c r="F52">
        <v>0.50000000000000022</v>
      </c>
      <c r="G52">
        <v>3.7269748641199874</v>
      </c>
      <c r="H52">
        <v>0</v>
      </c>
      <c r="I52">
        <v>1</v>
      </c>
      <c r="Y52">
        <v>251</v>
      </c>
      <c r="Z52">
        <v>2.4999999999999907</v>
      </c>
      <c r="AA52">
        <v>-2.0454071728589627</v>
      </c>
      <c r="AB52">
        <v>0</v>
      </c>
      <c r="AC52">
        <v>1</v>
      </c>
    </row>
    <row r="53" spans="5:29" x14ac:dyDescent="0.3">
      <c r="E53">
        <v>52</v>
      </c>
      <c r="F53">
        <v>0.51000000000000023</v>
      </c>
      <c r="G53">
        <v>3.6227144391431758</v>
      </c>
      <c r="H53">
        <v>0</v>
      </c>
      <c r="I53">
        <v>2</v>
      </c>
      <c r="Y53">
        <v>256</v>
      </c>
      <c r="Z53">
        <v>2.5499999999999896</v>
      </c>
      <c r="AA53">
        <v>-2.2127943365317746</v>
      </c>
      <c r="AB53">
        <v>0.82389740609808326</v>
      </c>
      <c r="AC53">
        <v>1</v>
      </c>
    </row>
    <row r="54" spans="5:29" x14ac:dyDescent="0.3">
      <c r="E54">
        <v>53</v>
      </c>
      <c r="F54">
        <v>0.52000000000000024</v>
      </c>
      <c r="G54">
        <v>3.5127087627011675</v>
      </c>
      <c r="H54">
        <v>0</v>
      </c>
      <c r="I54">
        <v>3</v>
      </c>
      <c r="Y54">
        <v>261</v>
      </c>
      <c r="Z54">
        <v>2.5999999999999885</v>
      </c>
      <c r="AA54">
        <v>-2.2794740760574017</v>
      </c>
      <c r="AB54">
        <v>1.7915908581837463</v>
      </c>
      <c r="AC54">
        <v>1</v>
      </c>
    </row>
    <row r="55" spans="5:29" x14ac:dyDescent="0.3">
      <c r="E55">
        <v>54</v>
      </c>
      <c r="F55">
        <v>0.53000000000000025</v>
      </c>
      <c r="G55">
        <v>3.3971855994230991</v>
      </c>
      <c r="H55">
        <v>0</v>
      </c>
      <c r="I55">
        <v>4</v>
      </c>
      <c r="Y55">
        <v>266</v>
      </c>
      <c r="Z55">
        <v>2.6499999999999875</v>
      </c>
      <c r="AA55">
        <v>-2.2455371283398304</v>
      </c>
      <c r="AB55">
        <v>2.6531521669681624</v>
      </c>
      <c r="AC55">
        <v>1</v>
      </c>
    </row>
    <row r="56" spans="5:29" x14ac:dyDescent="0.3">
      <c r="E56">
        <v>55</v>
      </c>
      <c r="F56">
        <v>0.54000000000000026</v>
      </c>
      <c r="G56">
        <v>3.2763810515022134</v>
      </c>
      <c r="H56">
        <v>0</v>
      </c>
      <c r="I56">
        <v>5</v>
      </c>
      <c r="Y56">
        <v>271</v>
      </c>
      <c r="Z56">
        <v>2.6999999999999864</v>
      </c>
      <c r="AA56">
        <v>-2.1154258135389936</v>
      </c>
      <c r="AB56">
        <v>3.3744332795277709</v>
      </c>
      <c r="AC56">
        <v>1</v>
      </c>
    </row>
    <row r="57" spans="5:29" x14ac:dyDescent="0.3">
      <c r="E57">
        <v>56</v>
      </c>
      <c r="F57">
        <v>0.55000000000000027</v>
      </c>
      <c r="G57">
        <v>3.150539093738975</v>
      </c>
      <c r="H57">
        <v>0</v>
      </c>
      <c r="I57">
        <v>1</v>
      </c>
      <c r="Y57">
        <v>276</v>
      </c>
      <c r="Z57">
        <v>2.7499999999999853</v>
      </c>
      <c r="AA57">
        <v>-1.8976131815097164</v>
      </c>
      <c r="AB57">
        <v>3.9283661043790357</v>
      </c>
      <c r="AC57">
        <v>1</v>
      </c>
    </row>
    <row r="58" spans="5:29" x14ac:dyDescent="0.3">
      <c r="E58">
        <v>57</v>
      </c>
      <c r="F58">
        <v>0.56000000000000028</v>
      </c>
      <c r="G58">
        <v>3.0199110975250671</v>
      </c>
      <c r="H58">
        <v>0</v>
      </c>
      <c r="I58">
        <v>2</v>
      </c>
      <c r="Y58">
        <v>281</v>
      </c>
      <c r="Z58">
        <v>2.7999999999999843</v>
      </c>
      <c r="AA58">
        <v>-1.6041172079523947</v>
      </c>
      <c r="AB58">
        <v>4.2959246595834495</v>
      </c>
      <c r="AC58">
        <v>1</v>
      </c>
    </row>
    <row r="59" spans="5:29" x14ac:dyDescent="0.3">
      <c r="E59">
        <v>58</v>
      </c>
      <c r="F59">
        <v>0.57000000000000028</v>
      </c>
      <c r="G59">
        <v>2.8847553446713023</v>
      </c>
      <c r="H59">
        <v>0</v>
      </c>
      <c r="I59">
        <v>3</v>
      </c>
      <c r="Y59">
        <v>286</v>
      </c>
      <c r="Z59">
        <v>2.8499999999999832</v>
      </c>
      <c r="AA59">
        <v>-1.2498759388303391</v>
      </c>
      <c r="AB59">
        <v>4.4667107565699551</v>
      </c>
      <c r="AC59">
        <v>1</v>
      </c>
    </row>
    <row r="60" spans="5:29" x14ac:dyDescent="0.3">
      <c r="E60">
        <v>59</v>
      </c>
      <c r="F60">
        <v>0.58000000000000029</v>
      </c>
      <c r="G60">
        <v>2.7453365319949166</v>
      </c>
      <c r="H60">
        <v>0</v>
      </c>
      <c r="I60">
        <v>4</v>
      </c>
      <c r="Y60">
        <v>291</v>
      </c>
      <c r="Z60">
        <v>2.8999999999999821</v>
      </c>
      <c r="AA60">
        <v>-0.85201473376210157</v>
      </c>
      <c r="AB60">
        <v>4.4391489999555569</v>
      </c>
      <c r="AC60">
        <v>1</v>
      </c>
    </row>
    <row r="61" spans="5:29" x14ac:dyDescent="0.3">
      <c r="E61">
        <v>60</v>
      </c>
      <c r="F61">
        <v>0.5900000000000003</v>
      </c>
      <c r="G61">
        <v>2.60192526759249</v>
      </c>
      <c r="H61">
        <v>0</v>
      </c>
      <c r="I61">
        <v>5</v>
      </c>
      <c r="Y61">
        <v>296</v>
      </c>
      <c r="Z61">
        <v>2.9499999999999811</v>
      </c>
      <c r="AA61">
        <v>-0.42904050795466814</v>
      </c>
      <c r="AB61">
        <v>4.2202942110533144</v>
      </c>
      <c r="AC61">
        <v>1</v>
      </c>
    </row>
    <row r="62" spans="5:29" x14ac:dyDescent="0.3">
      <c r="E62">
        <v>61</v>
      </c>
      <c r="F62">
        <v>0.60000000000000031</v>
      </c>
      <c r="G62">
        <v>2.4547975597338052</v>
      </c>
      <c r="H62">
        <v>0</v>
      </c>
      <c r="I62">
        <v>1</v>
      </c>
      <c r="Y62">
        <v>301</v>
      </c>
      <c r="Z62">
        <v>2.99999999999998</v>
      </c>
      <c r="AA62">
        <v>-1.7071622338750767E-13</v>
      </c>
      <c r="AB62">
        <v>3.8252710635754656</v>
      </c>
      <c r="AC62">
        <v>1</v>
      </c>
    </row>
    <row r="63" spans="5:29" x14ac:dyDescent="0.3">
      <c r="E63">
        <v>62</v>
      </c>
      <c r="F63">
        <v>0.61000000000000032</v>
      </c>
      <c r="G63">
        <v>2.3042342993193512</v>
      </c>
      <c r="H63">
        <v>0</v>
      </c>
      <c r="I63">
        <v>2</v>
      </c>
      <c r="Y63">
        <v>306</v>
      </c>
      <c r="Z63">
        <v>3.049999999999979</v>
      </c>
      <c r="AA63">
        <v>0.4163604446556588</v>
      </c>
      <c r="AB63">
        <v>3.2763810515022134</v>
      </c>
      <c r="AC63">
        <v>1</v>
      </c>
    </row>
    <row r="64" spans="5:29" x14ac:dyDescent="0.3">
      <c r="E64">
        <v>63</v>
      </c>
      <c r="F64">
        <v>0.62000000000000033</v>
      </c>
      <c r="G64">
        <v>2.1505207368498356</v>
      </c>
      <c r="H64">
        <v>0</v>
      </c>
      <c r="I64">
        <v>3</v>
      </c>
      <c r="Y64">
        <v>311</v>
      </c>
      <c r="Z64">
        <v>3.0999999999999779</v>
      </c>
      <c r="AA64">
        <v>0.80239725834807207</v>
      </c>
      <c r="AB64">
        <v>2.60192526759249</v>
      </c>
      <c r="AC64">
        <v>1</v>
      </c>
    </row>
    <row r="65" spans="5:29" x14ac:dyDescent="0.3">
      <c r="E65">
        <v>64</v>
      </c>
      <c r="F65">
        <v>0.63000000000000034</v>
      </c>
      <c r="G65">
        <v>1.9939459548600549</v>
      </c>
      <c r="H65">
        <v>0</v>
      </c>
      <c r="I65">
        <v>4</v>
      </c>
      <c r="Y65">
        <v>316</v>
      </c>
      <c r="Z65">
        <v>3.1499999999999768</v>
      </c>
      <c r="AA65">
        <v>1.1423005982169419</v>
      </c>
      <c r="AB65">
        <v>1.8348023367717472</v>
      </c>
      <c r="AC65">
        <v>1</v>
      </c>
    </row>
    <row r="66" spans="5:29" x14ac:dyDescent="0.3">
      <c r="E66">
        <v>65</v>
      </c>
      <c r="F66">
        <v>0.64000000000000035</v>
      </c>
      <c r="G66">
        <v>1.8348023367717472</v>
      </c>
      <c r="H66">
        <v>0</v>
      </c>
      <c r="I66">
        <v>5</v>
      </c>
      <c r="Y66">
        <v>321</v>
      </c>
      <c r="Z66">
        <v>3.1999999999999758</v>
      </c>
      <c r="AA66">
        <v>1.4227243346224314</v>
      </c>
      <c r="AB66">
        <v>1.0109488250910885</v>
      </c>
      <c r="AC66">
        <v>1</v>
      </c>
    </row>
    <row r="67" spans="5:29" x14ac:dyDescent="0.3">
      <c r="E67">
        <v>66</v>
      </c>
      <c r="F67">
        <v>0.65000000000000036</v>
      </c>
      <c r="G67">
        <v>1.6733850331206386</v>
      </c>
      <c r="H67">
        <v>0</v>
      </c>
      <c r="I67">
        <v>1</v>
      </c>
      <c r="Y67">
        <v>326</v>
      </c>
      <c r="Z67">
        <v>3.2499999999999747</v>
      </c>
      <c r="AA67">
        <v>1.6332908014945908</v>
      </c>
      <c r="AB67">
        <v>0.16769427231636155</v>
      </c>
      <c r="AC67">
        <v>1</v>
      </c>
    </row>
    <row r="68" spans="5:29" x14ac:dyDescent="0.3">
      <c r="E68">
        <v>67</v>
      </c>
      <c r="F68">
        <v>0.66000000000000036</v>
      </c>
      <c r="G68">
        <v>1.5099914261117888</v>
      </c>
      <c r="H68">
        <v>0</v>
      </c>
      <c r="I68">
        <v>2</v>
      </c>
      <c r="Y68">
        <v>331</v>
      </c>
      <c r="Z68">
        <v>3.2999999999999736</v>
      </c>
      <c r="AA68">
        <v>1.7669521664994867</v>
      </c>
      <c r="AB68">
        <v>-0.65789544136310751</v>
      </c>
      <c r="AC68">
        <v>1</v>
      </c>
    </row>
    <row r="69" spans="5:29" x14ac:dyDescent="0.3">
      <c r="E69">
        <v>68</v>
      </c>
      <c r="F69">
        <v>0.67000000000000037</v>
      </c>
      <c r="G69">
        <v>1.3449205934545887</v>
      </c>
      <c r="H69">
        <v>0</v>
      </c>
      <c r="I69">
        <v>3</v>
      </c>
      <c r="Y69">
        <v>336</v>
      </c>
      <c r="Z69">
        <v>3.3499999999999726</v>
      </c>
      <c r="AA69">
        <v>1.8201970199733768</v>
      </c>
      <c r="AB69">
        <v>-1.4306143576407584</v>
      </c>
      <c r="AC69">
        <v>1</v>
      </c>
    </row>
    <row r="70" spans="5:29" x14ac:dyDescent="0.3">
      <c r="E70">
        <v>69</v>
      </c>
      <c r="F70">
        <v>0.68000000000000038</v>
      </c>
      <c r="G70">
        <v>1.1784727724243076</v>
      </c>
      <c r="H70">
        <v>0</v>
      </c>
      <c r="I70">
        <v>4</v>
      </c>
      <c r="Y70">
        <v>341</v>
      </c>
      <c r="Z70">
        <v>3.3999999999999715</v>
      </c>
      <c r="AA70">
        <v>1.7930978168057328</v>
      </c>
      <c r="AB70">
        <v>-2.1185850361606722</v>
      </c>
      <c r="AC70">
        <v>1</v>
      </c>
    </row>
    <row r="71" spans="5:29" x14ac:dyDescent="0.3">
      <c r="E71">
        <v>70</v>
      </c>
      <c r="F71">
        <v>0.69000000000000039</v>
      </c>
      <c r="G71">
        <v>1.0109488250910885</v>
      </c>
      <c r="H71">
        <v>0</v>
      </c>
      <c r="I71">
        <v>5</v>
      </c>
      <c r="Y71">
        <v>346</v>
      </c>
      <c r="Z71">
        <v>3.4499999999999704</v>
      </c>
      <c r="AA71">
        <v>1.6892018216931814</v>
      </c>
      <c r="AB71">
        <v>-2.6945397028243248</v>
      </c>
      <c r="AC71">
        <v>1</v>
      </c>
    </row>
    <row r="72" spans="5:29" x14ac:dyDescent="0.3">
      <c r="E72">
        <v>71</v>
      </c>
      <c r="F72">
        <v>0.7000000000000004</v>
      </c>
      <c r="G72">
        <v>0.84264970564949337</v>
      </c>
      <c r="H72">
        <v>0</v>
      </c>
      <c r="I72">
        <v>1</v>
      </c>
      <c r="Y72">
        <v>351</v>
      </c>
      <c r="Z72">
        <v>3.4999999999999694</v>
      </c>
      <c r="AA72">
        <v>1.5152749023671566</v>
      </c>
      <c r="AB72">
        <v>-3.136864047571255</v>
      </c>
      <c r="AC72">
        <v>1</v>
      </c>
    </row>
    <row r="73" spans="5:29" x14ac:dyDescent="0.3">
      <c r="E73">
        <v>72</v>
      </c>
      <c r="F73">
        <v>0.71000000000000041</v>
      </c>
      <c r="G73">
        <v>0.673875930772595</v>
      </c>
      <c r="H73">
        <v>0</v>
      </c>
      <c r="I73">
        <v>2</v>
      </c>
      <c r="Y73">
        <v>356</v>
      </c>
      <c r="Z73">
        <v>3.5499999999999683</v>
      </c>
      <c r="AA73">
        <v>1.2809136073410796</v>
      </c>
      <c r="AB73">
        <v>-3.4303655152457435</v>
      </c>
      <c r="AC73">
        <v>1</v>
      </c>
    </row>
    <row r="74" spans="5:29" x14ac:dyDescent="0.3">
      <c r="E74">
        <v>73</v>
      </c>
      <c r="F74">
        <v>0.72000000000000042</v>
      </c>
      <c r="G74">
        <v>0.50492705390356241</v>
      </c>
      <c r="H74">
        <v>0</v>
      </c>
      <c r="I74">
        <v>3</v>
      </c>
      <c r="Y74">
        <v>361</v>
      </c>
      <c r="Z74">
        <v>3.5999999999999672</v>
      </c>
      <c r="AA74">
        <v>0.99804620859322657</v>
      </c>
      <c r="AB74">
        <v>-3.5667409836280775</v>
      </c>
      <c r="AC74">
        <v>1</v>
      </c>
    </row>
    <row r="75" spans="5:29" x14ac:dyDescent="0.3">
      <c r="E75">
        <v>74</v>
      </c>
      <c r="F75">
        <v>0.73000000000000043</v>
      </c>
      <c r="G75">
        <v>0.33610114438552208</v>
      </c>
      <c r="H75">
        <v>0</v>
      </c>
      <c r="I75">
        <v>4</v>
      </c>
      <c r="Y75">
        <v>366</v>
      </c>
      <c r="Z75">
        <v>3.6499999999999662</v>
      </c>
      <c r="AA75">
        <v>0.68034758353109481</v>
      </c>
      <c r="AB75">
        <v>-3.5447324739539794</v>
      </c>
      <c r="AC75">
        <v>1</v>
      </c>
    </row>
    <row r="76" spans="5:29" x14ac:dyDescent="0.3">
      <c r="E76">
        <v>75</v>
      </c>
      <c r="F76">
        <v>0.74000000000000044</v>
      </c>
      <c r="G76">
        <v>0.16769427231636155</v>
      </c>
      <c r="H76">
        <v>0</v>
      </c>
      <c r="I76">
        <v>5</v>
      </c>
      <c r="Y76">
        <v>371</v>
      </c>
      <c r="Z76">
        <v>3.6999999999999651</v>
      </c>
      <c r="AA76">
        <v>0.34259580410667473</v>
      </c>
      <c r="AB76">
        <v>-3.3699733754623775</v>
      </c>
      <c r="AC76">
        <v>1</v>
      </c>
    </row>
    <row r="77" spans="5:29" x14ac:dyDescent="0.3">
      <c r="E77">
        <v>76</v>
      </c>
      <c r="F77">
        <v>0.75000000000000044</v>
      </c>
      <c r="G77">
        <v>-6.603098277009967E-15</v>
      </c>
      <c r="H77">
        <v>0</v>
      </c>
      <c r="I77">
        <v>1</v>
      </c>
      <c r="Y77">
        <v>376</v>
      </c>
      <c r="Z77">
        <v>3.749999999999964</v>
      </c>
      <c r="AA77">
        <v>2.4609128677049127E-13</v>
      </c>
      <c r="AB77">
        <v>-3.0545409854159375</v>
      </c>
      <c r="AC77">
        <v>1</v>
      </c>
    </row>
    <row r="78" spans="5:29" x14ac:dyDescent="0.3">
      <c r="E78">
        <v>77</v>
      </c>
      <c r="F78">
        <v>0.76000000000000045</v>
      </c>
      <c r="G78">
        <v>-0.16669111915143262</v>
      </c>
      <c r="H78">
        <v>0</v>
      </c>
      <c r="I78">
        <v>2</v>
      </c>
      <c r="Y78">
        <v>381</v>
      </c>
      <c r="Z78">
        <v>3.799999999999963</v>
      </c>
      <c r="AA78">
        <v>-0.33247056790730534</v>
      </c>
      <c r="AB78">
        <v>-2.6162434084604125</v>
      </c>
      <c r="AC78">
        <v>1</v>
      </c>
    </row>
    <row r="79" spans="5:29" x14ac:dyDescent="0.3">
      <c r="E79">
        <v>78</v>
      </c>
      <c r="F79">
        <v>0.77000000000000046</v>
      </c>
      <c r="G79">
        <v>-0.33209203342787097</v>
      </c>
      <c r="H79">
        <v>0</v>
      </c>
      <c r="I79">
        <v>3</v>
      </c>
      <c r="Y79">
        <v>386</v>
      </c>
      <c r="Z79">
        <v>3.8499999999999619</v>
      </c>
      <c r="AA79">
        <v>-0.64072722467889665</v>
      </c>
      <c r="AB79">
        <v>-2.077679526172429</v>
      </c>
      <c r="AC79">
        <v>1</v>
      </c>
    </row>
    <row r="80" spans="5:29" x14ac:dyDescent="0.3">
      <c r="E80">
        <v>79</v>
      </c>
      <c r="F80">
        <v>0.78000000000000047</v>
      </c>
      <c r="G80">
        <v>-0.49591967652757463</v>
      </c>
      <c r="H80">
        <v>0</v>
      </c>
      <c r="I80">
        <v>4</v>
      </c>
      <c r="Y80">
        <v>391</v>
      </c>
      <c r="Z80">
        <v>3.8999999999999608</v>
      </c>
      <c r="AA80">
        <v>-0.91214555437468636</v>
      </c>
      <c r="AB80">
        <v>-1.4651194241298382</v>
      </c>
      <c r="AC80">
        <v>1</v>
      </c>
    </row>
    <row r="81" spans="5:29" x14ac:dyDescent="0.3">
      <c r="E81">
        <v>80</v>
      </c>
      <c r="F81">
        <v>0.79000000000000048</v>
      </c>
      <c r="G81">
        <v>-0.65789544136310751</v>
      </c>
      <c r="H81">
        <v>0</v>
      </c>
      <c r="I81">
        <v>5</v>
      </c>
      <c r="Y81">
        <v>396</v>
      </c>
      <c r="Z81">
        <v>3.9499999999999598</v>
      </c>
      <c r="AA81">
        <v>-1.1360684560195908</v>
      </c>
      <c r="AB81">
        <v>-0.80725903317095982</v>
      </c>
      <c r="AC81">
        <v>1</v>
      </c>
    </row>
    <row r="82" spans="5:29" x14ac:dyDescent="0.3">
      <c r="E82">
        <v>81</v>
      </c>
      <c r="F82">
        <v>0.80000000000000049</v>
      </c>
      <c r="G82">
        <v>-0.81774564319352872</v>
      </c>
      <c r="H82">
        <v>0</v>
      </c>
      <c r="I82">
        <v>1</v>
      </c>
      <c r="Y82">
        <v>401</v>
      </c>
      <c r="Z82">
        <v>3.9999999999999587</v>
      </c>
      <c r="AA82">
        <v>-1.3042091949438894</v>
      </c>
      <c r="AB82">
        <v>-0.13390659623765677</v>
      </c>
      <c r="AC82">
        <v>1</v>
      </c>
    </row>
    <row r="83" spans="5:29" x14ac:dyDescent="0.3">
      <c r="E83">
        <v>82</v>
      </c>
      <c r="F83">
        <v>0.8100000000000005</v>
      </c>
      <c r="G83">
        <v>-0.97520197133229869</v>
      </c>
      <c r="H83">
        <v>0</v>
      </c>
      <c r="I83">
        <v>2</v>
      </c>
      <c r="Y83">
        <v>406</v>
      </c>
      <c r="Z83">
        <v>4.0499999999999581</v>
      </c>
      <c r="AA83">
        <v>-1.4109399627218357</v>
      </c>
      <c r="AB83">
        <v>0.5253401801763079</v>
      </c>
      <c r="AC83">
        <v>1</v>
      </c>
    </row>
    <row r="84" spans="5:29" x14ac:dyDescent="0.3">
      <c r="E84">
        <v>83</v>
      </c>
      <c r="F84">
        <v>0.82000000000000051</v>
      </c>
      <c r="G84">
        <v>-1.1300019287051557</v>
      </c>
      <c r="H84">
        <v>0</v>
      </c>
      <c r="I84">
        <v>3</v>
      </c>
      <c r="Y84">
        <v>411</v>
      </c>
      <c r="Z84">
        <v>4.099999999999957</v>
      </c>
      <c r="AA84">
        <v>-1.4534568417862239</v>
      </c>
      <c r="AB84">
        <v>1.142368767366182</v>
      </c>
      <c r="AC84">
        <v>1</v>
      </c>
    </row>
    <row r="85" spans="5:29" x14ac:dyDescent="0.3">
      <c r="E85">
        <v>84</v>
      </c>
      <c r="F85">
        <v>0.83000000000000052</v>
      </c>
      <c r="G85">
        <v>-1.2818892585579096</v>
      </c>
      <c r="H85">
        <v>0</v>
      </c>
      <c r="I85">
        <v>4</v>
      </c>
      <c r="Y85">
        <v>416</v>
      </c>
      <c r="Z85">
        <v>4.1499999999999559</v>
      </c>
      <c r="AA85">
        <v>-1.431817688541424</v>
      </c>
      <c r="AB85">
        <v>1.6917245121952242</v>
      </c>
      <c r="AC85">
        <v>1</v>
      </c>
    </row>
    <row r="86" spans="5:29" x14ac:dyDescent="0.3">
      <c r="E86">
        <v>85</v>
      </c>
      <c r="F86">
        <v>0.84000000000000052</v>
      </c>
      <c r="G86">
        <v>-1.4306143576407584</v>
      </c>
      <c r="H86">
        <v>0</v>
      </c>
      <c r="I86">
        <v>5</v>
      </c>
      <c r="Y86">
        <v>421</v>
      </c>
      <c r="Z86">
        <v>4.1999999999999549</v>
      </c>
      <c r="AA86">
        <v>-1.3488550513799251</v>
      </c>
      <c r="AB86">
        <v>2.1516336547962993</v>
      </c>
      <c r="AC86">
        <v>1</v>
      </c>
    </row>
    <row r="87" spans="5:29" x14ac:dyDescent="0.3">
      <c r="E87">
        <v>86</v>
      </c>
      <c r="F87">
        <v>0.85000000000000053</v>
      </c>
      <c r="G87">
        <v>-1.5759346752237338</v>
      </c>
      <c r="H87">
        <v>0</v>
      </c>
      <c r="I87">
        <v>1</v>
      </c>
      <c r="Y87">
        <v>426</v>
      </c>
      <c r="Z87">
        <v>4.2499999999999538</v>
      </c>
      <c r="AA87">
        <v>-1.2099715854192574</v>
      </c>
      <c r="AB87">
        <v>2.5048368180288367</v>
      </c>
      <c r="AC87">
        <v>1</v>
      </c>
    </row>
    <row r="88" spans="5:29" x14ac:dyDescent="0.3">
      <c r="E88">
        <v>87</v>
      </c>
      <c r="F88">
        <v>0.86000000000000054</v>
      </c>
      <c r="G88">
        <v>-1.717615097326429</v>
      </c>
      <c r="H88">
        <v>0</v>
      </c>
      <c r="I88">
        <v>2</v>
      </c>
      <c r="Y88">
        <v>431</v>
      </c>
      <c r="Z88">
        <v>4.2999999999999527</v>
      </c>
      <c r="AA88">
        <v>-1.0228302902914976</v>
      </c>
      <c r="AB88">
        <v>2.7392025001965954</v>
      </c>
      <c r="AC88">
        <v>1</v>
      </c>
    </row>
    <row r="89" spans="5:29" x14ac:dyDescent="0.3">
      <c r="E89">
        <v>88</v>
      </c>
      <c r="F89">
        <v>0.87000000000000055</v>
      </c>
      <c r="G89">
        <v>-1.8554283155750695</v>
      </c>
      <c r="H89">
        <v>0</v>
      </c>
      <c r="I89">
        <v>3</v>
      </c>
      <c r="Y89">
        <v>436</v>
      </c>
      <c r="Z89">
        <v>4.3499999999999517</v>
      </c>
      <c r="AA89">
        <v>-0.79695608463307166</v>
      </c>
      <c r="AB89">
        <v>2.8481005235407948</v>
      </c>
      <c r="AC89">
        <v>1</v>
      </c>
    </row>
    <row r="90" spans="5:29" x14ac:dyDescent="0.3">
      <c r="E90">
        <v>89</v>
      </c>
      <c r="F90">
        <v>0.88000000000000056</v>
      </c>
      <c r="G90">
        <v>-1.9891551801303085</v>
      </c>
      <c r="H90">
        <v>0</v>
      </c>
      <c r="I90">
        <v>4</v>
      </c>
      <c r="Y90">
        <v>441</v>
      </c>
      <c r="Z90">
        <v>4.3999999999999506</v>
      </c>
      <c r="AA90">
        <v>-0.54326857984340982</v>
      </c>
      <c r="AB90">
        <v>2.8305263716153033</v>
      </c>
      <c r="AC90">
        <v>1</v>
      </c>
    </row>
    <row r="91" spans="5:29" x14ac:dyDescent="0.3">
      <c r="E91">
        <v>90</v>
      </c>
      <c r="F91">
        <v>0.89000000000000057</v>
      </c>
      <c r="G91">
        <v>-2.1185850361606722</v>
      </c>
      <c r="H91">
        <v>0</v>
      </c>
      <c r="I91">
        <v>5</v>
      </c>
      <c r="Y91">
        <v>446</v>
      </c>
      <c r="Z91">
        <v>4.4499999999999496</v>
      </c>
      <c r="AA91">
        <v>-0.27356830605817389</v>
      </c>
      <c r="AB91">
        <v>2.6909783970939904</v>
      </c>
      <c r="AC91">
        <v>1</v>
      </c>
    </row>
    <row r="92" spans="5:29" x14ac:dyDescent="0.3">
      <c r="E92">
        <v>91</v>
      </c>
      <c r="F92">
        <v>0.90000000000000058</v>
      </c>
      <c r="G92">
        <v>-2.2435160433684449</v>
      </c>
      <c r="H92">
        <v>0</v>
      </c>
      <c r="I92">
        <v>1</v>
      </c>
      <c r="Y92">
        <v>451</v>
      </c>
      <c r="Z92">
        <v>4.4999999999999485</v>
      </c>
      <c r="AA92">
        <v>-2.8185978154254769E-13</v>
      </c>
      <c r="AB92">
        <v>2.439100517719873</v>
      </c>
      <c r="AC92">
        <v>1</v>
      </c>
    </row>
    <row r="93" spans="5:29" x14ac:dyDescent="0.3">
      <c r="E93">
        <v>92</v>
      </c>
      <c r="F93">
        <v>0.91000000000000059</v>
      </c>
      <c r="G93">
        <v>-2.3637554781077275</v>
      </c>
      <c r="H93">
        <v>0</v>
      </c>
      <c r="I93">
        <v>2</v>
      </c>
      <c r="Y93">
        <v>456</v>
      </c>
      <c r="Z93">
        <v>4.5499999999999474</v>
      </c>
      <c r="AA93">
        <v>0.26548314073404755</v>
      </c>
      <c r="AB93">
        <v>2.0891127938779577</v>
      </c>
      <c r="AC93">
        <v>1</v>
      </c>
    </row>
    <row r="94" spans="5:29" x14ac:dyDescent="0.3">
      <c r="E94">
        <v>93</v>
      </c>
      <c r="F94">
        <v>0.9200000000000006</v>
      </c>
      <c r="G94">
        <v>-2.4791200176675674</v>
      </c>
      <c r="H94">
        <v>0</v>
      </c>
      <c r="I94">
        <v>3</v>
      </c>
      <c r="Y94">
        <v>461</v>
      </c>
      <c r="Z94">
        <v>4.5999999999999464</v>
      </c>
      <c r="AA94">
        <v>0.51163108070671104</v>
      </c>
      <c r="AB94">
        <v>1.6590607990329966</v>
      </c>
      <c r="AC94">
        <v>1</v>
      </c>
    </row>
    <row r="95" spans="5:29" x14ac:dyDescent="0.3">
      <c r="E95">
        <v>94</v>
      </c>
      <c r="F95">
        <v>0.9300000000000006</v>
      </c>
      <c r="G95">
        <v>-2.5894360063271602</v>
      </c>
      <c r="H95">
        <v>0</v>
      </c>
      <c r="I95">
        <v>4</v>
      </c>
      <c r="Y95">
        <v>466</v>
      </c>
      <c r="Z95">
        <v>4.6499999999999453</v>
      </c>
      <c r="AA95">
        <v>0.72836301903738931</v>
      </c>
      <c r="AB95">
        <v>1.169921622587101</v>
      </c>
      <c r="AC95">
        <v>1</v>
      </c>
    </row>
    <row r="96" spans="5:29" x14ac:dyDescent="0.3">
      <c r="E96">
        <v>95</v>
      </c>
      <c r="F96">
        <v>0.94000000000000061</v>
      </c>
      <c r="G96">
        <v>-2.6945397028243248</v>
      </c>
      <c r="H96">
        <v>0</v>
      </c>
      <c r="I96">
        <v>5</v>
      </c>
      <c r="Y96">
        <v>471</v>
      </c>
      <c r="Z96">
        <v>4.6999999999999442</v>
      </c>
      <c r="AA96">
        <v>0.90716908775251925</v>
      </c>
      <c r="AB96">
        <v>0.64460943072706678</v>
      </c>
      <c r="AC96">
        <v>1</v>
      </c>
    </row>
    <row r="97" spans="5:29" x14ac:dyDescent="0.3">
      <c r="E97">
        <v>96</v>
      </c>
      <c r="F97">
        <v>0.95000000000000062</v>
      </c>
      <c r="G97">
        <v>-2.7942775089134573</v>
      </c>
      <c r="H97">
        <v>0</v>
      </c>
      <c r="I97">
        <v>1</v>
      </c>
      <c r="Y97">
        <v>476</v>
      </c>
      <c r="Z97">
        <v>4.7499999999999432</v>
      </c>
      <c r="AA97">
        <v>1.0414321948177701</v>
      </c>
      <c r="AB97">
        <v>0.10692658889468942</v>
      </c>
      <c r="AC97">
        <v>1</v>
      </c>
    </row>
    <row r="98" spans="5:29" x14ac:dyDescent="0.3">
      <c r="E98">
        <v>97</v>
      </c>
      <c r="F98">
        <v>0.96000000000000063</v>
      </c>
      <c r="G98">
        <v>-2.8885061787242199</v>
      </c>
      <c r="H98">
        <v>0</v>
      </c>
      <c r="I98">
        <v>2</v>
      </c>
      <c r="Y98">
        <v>481</v>
      </c>
      <c r="Z98">
        <v>4.7999999999999421</v>
      </c>
      <c r="AA98">
        <v>1.1266584439291185</v>
      </c>
      <c r="AB98">
        <v>-0.41949265423669624</v>
      </c>
      <c r="AC98">
        <v>1</v>
      </c>
    </row>
    <row r="99" spans="5:29" x14ac:dyDescent="0.3">
      <c r="E99">
        <v>98</v>
      </c>
      <c r="F99">
        <v>0.97000000000000064</v>
      </c>
      <c r="G99">
        <v>-2.9770930086677616</v>
      </c>
      <c r="H99">
        <v>0</v>
      </c>
      <c r="I99">
        <v>3</v>
      </c>
      <c r="Y99">
        <v>486</v>
      </c>
      <c r="Z99">
        <v>4.849999999999941</v>
      </c>
      <c r="AA99">
        <v>1.160608861433079</v>
      </c>
      <c r="AB99">
        <v>-0.91219998854598616</v>
      </c>
      <c r="AC99">
        <v>1</v>
      </c>
    </row>
    <row r="100" spans="5:29" x14ac:dyDescent="0.3">
      <c r="E100">
        <v>99</v>
      </c>
      <c r="F100">
        <v>0.98000000000000065</v>
      </c>
      <c r="G100">
        <v>-3.0599160076729963</v>
      </c>
      <c r="H100">
        <v>0</v>
      </c>
      <c r="I100">
        <v>4</v>
      </c>
      <c r="Y100">
        <v>491</v>
      </c>
      <c r="Z100">
        <v>4.89999999999994</v>
      </c>
      <c r="AA100">
        <v>1.1433296466069029</v>
      </c>
      <c r="AB100">
        <v>-1.3508694606606149</v>
      </c>
      <c r="AC100">
        <v>1</v>
      </c>
    </row>
    <row r="101" spans="5:29" x14ac:dyDescent="0.3">
      <c r="E101">
        <v>100</v>
      </c>
      <c r="F101">
        <v>0.99000000000000066</v>
      </c>
      <c r="G101">
        <v>-3.136864047571255</v>
      </c>
      <c r="H101">
        <v>0</v>
      </c>
      <c r="I101">
        <v>5</v>
      </c>
      <c r="Y101">
        <v>496</v>
      </c>
      <c r="Z101">
        <v>4.9499999999999389</v>
      </c>
      <c r="AA101">
        <v>1.0770826352824119</v>
      </c>
      <c r="AB101">
        <v>-1.7181143701833002</v>
      </c>
      <c r="AC101">
        <v>1</v>
      </c>
    </row>
    <row r="102" spans="5:29" x14ac:dyDescent="0.3">
      <c r="E102">
        <v>101</v>
      </c>
      <c r="F102">
        <v>1.0000000000000007</v>
      </c>
      <c r="G102">
        <v>-3.2078369934837756</v>
      </c>
      <c r="H102">
        <v>0</v>
      </c>
      <c r="I102">
        <v>1</v>
      </c>
      <c r="Y102">
        <v>501</v>
      </c>
      <c r="Z102">
        <v>4.9999999999999378</v>
      </c>
      <c r="AA102">
        <v>0.96618193519531648</v>
      </c>
      <c r="AB102">
        <v>-2.0001528245416087</v>
      </c>
      <c r="AC102">
        <v>1</v>
      </c>
    </row>
    <row r="103" spans="5:29" x14ac:dyDescent="0.3">
      <c r="E103">
        <v>102</v>
      </c>
      <c r="F103">
        <v>1.0100000000000007</v>
      </c>
      <c r="G103">
        <v>-3.2727458141023158</v>
      </c>
      <c r="H103">
        <v>0</v>
      </c>
      <c r="I103">
        <v>2</v>
      </c>
      <c r="Y103">
        <v>506</v>
      </c>
      <c r="AB103">
        <v>-2.1872976228731855</v>
      </c>
      <c r="AC103">
        <v>1</v>
      </c>
    </row>
    <row r="104" spans="5:29" x14ac:dyDescent="0.3">
      <c r="E104">
        <v>103</v>
      </c>
      <c r="F104">
        <v>1.0200000000000007</v>
      </c>
      <c r="G104">
        <v>-3.3315126717894019</v>
      </c>
      <c r="H104">
        <v>0</v>
      </c>
      <c r="I104">
        <v>3</v>
      </c>
      <c r="Y104">
        <v>511</v>
      </c>
      <c r="AB104">
        <v>-2.2742544607043884</v>
      </c>
      <c r="AC104">
        <v>1</v>
      </c>
    </row>
    <row r="105" spans="5:29" x14ac:dyDescent="0.3">
      <c r="E105">
        <v>104</v>
      </c>
      <c r="F105">
        <v>1.0300000000000007</v>
      </c>
      <c r="G105">
        <v>-3.3840709924604191</v>
      </c>
      <c r="H105">
        <v>0</v>
      </c>
      <c r="I105">
        <v>4</v>
      </c>
      <c r="Y105">
        <v>516</v>
      </c>
      <c r="AB105">
        <v>-2.2602212153609686</v>
      </c>
      <c r="AC105">
        <v>1</v>
      </c>
    </row>
    <row r="106" spans="5:29" x14ac:dyDescent="0.3">
      <c r="E106">
        <v>105</v>
      </c>
      <c r="F106">
        <v>1.0400000000000007</v>
      </c>
      <c r="G106">
        <v>-3.4303655152457435</v>
      </c>
      <c r="H106">
        <v>0</v>
      </c>
      <c r="I106">
        <v>5</v>
      </c>
      <c r="Y106">
        <v>521</v>
      </c>
      <c r="AB106">
        <v>-2.1487898944107093</v>
      </c>
      <c r="AC106">
        <v>1</v>
      </c>
    </row>
    <row r="107" spans="5:29" x14ac:dyDescent="0.3">
      <c r="E107">
        <v>106</v>
      </c>
      <c r="F107">
        <v>1.0500000000000007</v>
      </c>
      <c r="G107">
        <v>-3.4703523219664563</v>
      </c>
      <c r="H107">
        <v>0</v>
      </c>
      <c r="I107">
        <v>1</v>
      </c>
      <c r="Y107">
        <v>526</v>
      </c>
      <c r="AB107">
        <v>-1.9476613225837887</v>
      </c>
      <c r="AC107">
        <v>1</v>
      </c>
    </row>
    <row r="108" spans="5:29" x14ac:dyDescent="0.3">
      <c r="E108">
        <v>107</v>
      </c>
      <c r="F108">
        <v>1.0600000000000007</v>
      </c>
      <c r="G108">
        <v>-3.503998846492677</v>
      </c>
      <c r="H108">
        <v>0</v>
      </c>
      <c r="I108">
        <v>2</v>
      </c>
      <c r="Y108">
        <v>531</v>
      </c>
      <c r="AB108">
        <v>-1.6681904487293659</v>
      </c>
      <c r="AC108">
        <v>1</v>
      </c>
    </row>
    <row r="109" spans="5:29" x14ac:dyDescent="0.3">
      <c r="E109">
        <v>108</v>
      </c>
      <c r="F109">
        <v>1.0700000000000007</v>
      </c>
      <c r="G109">
        <v>-3.5312838640883153</v>
      </c>
      <c r="H109">
        <v>0</v>
      </c>
      <c r="I109">
        <v>3</v>
      </c>
      <c r="Y109">
        <v>536</v>
      </c>
      <c r="AB109">
        <v>-1.3247869559358587</v>
      </c>
      <c r="AC109">
        <v>1</v>
      </c>
    </row>
    <row r="110" spans="5:29" x14ac:dyDescent="0.3">
      <c r="E110">
        <v>109</v>
      </c>
      <c r="F110">
        <v>1.0800000000000007</v>
      </c>
      <c r="G110">
        <v>-3.5521974608807665</v>
      </c>
      <c r="H110">
        <v>0</v>
      </c>
      <c r="I110">
        <v>4</v>
      </c>
      <c r="Y110">
        <v>541</v>
      </c>
      <c r="AB110">
        <v>-0.93420139031321525</v>
      </c>
      <c r="AC110">
        <v>1</v>
      </c>
    </row>
    <row r="111" spans="5:29" x14ac:dyDescent="0.3">
      <c r="E111">
        <v>110</v>
      </c>
      <c r="F111">
        <v>1.0900000000000007</v>
      </c>
      <c r="G111">
        <v>-3.5667409836280775</v>
      </c>
      <c r="H111">
        <v>0</v>
      </c>
      <c r="I111">
        <v>5</v>
      </c>
      <c r="Y111">
        <v>546</v>
      </c>
      <c r="AB111">
        <v>-0.51473108520094979</v>
      </c>
      <c r="AC111">
        <v>1</v>
      </c>
    </row>
    <row r="112" spans="5:29" x14ac:dyDescent="0.3">
      <c r="E112">
        <v>111</v>
      </c>
      <c r="F112">
        <v>1.1000000000000008</v>
      </c>
      <c r="G112">
        <v>-3.5749269699897726</v>
      </c>
      <c r="H112">
        <v>0</v>
      </c>
      <c r="I112">
        <v>1</v>
      </c>
      <c r="Y112">
        <v>551</v>
      </c>
      <c r="AB112">
        <v>-8.5382615449160343E-2</v>
      </c>
      <c r="AC112">
        <v>1</v>
      </c>
    </row>
    <row r="113" spans="5:29" x14ac:dyDescent="0.3">
      <c r="E113">
        <v>112</v>
      </c>
      <c r="F113">
        <v>1.1100000000000008</v>
      </c>
      <c r="G113">
        <v>-3.5767790595405464</v>
      </c>
      <c r="H113">
        <v>0</v>
      </c>
      <c r="I113">
        <v>2</v>
      </c>
      <c r="Y113">
        <v>556</v>
      </c>
      <c r="AB113">
        <v>0.33497168805828909</v>
      </c>
      <c r="AC113">
        <v>1</v>
      </c>
    </row>
    <row r="114" spans="5:29" x14ac:dyDescent="0.3">
      <c r="E114">
        <v>113</v>
      </c>
      <c r="F114">
        <v>1.1200000000000008</v>
      </c>
      <c r="G114">
        <v>-3.5723318857984725</v>
      </c>
      <c r="H114">
        <v>0</v>
      </c>
      <c r="I114">
        <v>3</v>
      </c>
      <c r="Y114">
        <v>561</v>
      </c>
      <c r="AB114">
        <v>0.72840648560596699</v>
      </c>
      <c r="AC114">
        <v>1</v>
      </c>
    </row>
    <row r="115" spans="5:29" x14ac:dyDescent="0.3">
      <c r="E115">
        <v>114</v>
      </c>
      <c r="F115">
        <v>1.1300000000000008</v>
      </c>
      <c r="G115">
        <v>-3.5616309495711183</v>
      </c>
      <c r="H115">
        <v>0</v>
      </c>
      <c r="I115">
        <v>4</v>
      </c>
      <c r="Y115">
        <v>566</v>
      </c>
      <c r="AB115">
        <v>1.0786911737641314</v>
      </c>
      <c r="AC115">
        <v>1</v>
      </c>
    </row>
    <row r="116" spans="5:29" x14ac:dyDescent="0.3">
      <c r="E116">
        <v>115</v>
      </c>
      <c r="F116">
        <v>1.1400000000000008</v>
      </c>
      <c r="G116">
        <v>-3.5447324739539794</v>
      </c>
      <c r="H116">
        <v>0</v>
      </c>
      <c r="I116">
        <v>5</v>
      </c>
      <c r="Y116">
        <v>571</v>
      </c>
      <c r="AB116">
        <v>1.371942190274833</v>
      </c>
      <c r="AC116">
        <v>1</v>
      </c>
    </row>
    <row r="117" spans="5:29" x14ac:dyDescent="0.3">
      <c r="E117">
        <v>116</v>
      </c>
      <c r="F117">
        <v>1.1500000000000008</v>
      </c>
      <c r="G117">
        <v>-3.5217032413459228</v>
      </c>
      <c r="H117">
        <v>0</v>
      </c>
      <c r="I117">
        <v>1</v>
      </c>
      <c r="Y117">
        <v>576</v>
      </c>
      <c r="AB117">
        <v>1.5971544703937921</v>
      </c>
      <c r="AC117">
        <v>1</v>
      </c>
    </row>
    <row r="118" spans="5:29" x14ac:dyDescent="0.3">
      <c r="E118">
        <v>117</v>
      </c>
      <c r="F118">
        <v>1.1600000000000008</v>
      </c>
      <c r="G118">
        <v>-3.4926204128757399</v>
      </c>
      <c r="H118">
        <v>0</v>
      </c>
      <c r="I118">
        <v>2</v>
      </c>
      <c r="Y118">
        <v>581</v>
      </c>
      <c r="AB118">
        <v>1.7465926271180348</v>
      </c>
      <c r="AC118">
        <v>1</v>
      </c>
    </row>
    <row r="119" spans="5:29" x14ac:dyDescent="0.3">
      <c r="E119">
        <v>118</v>
      </c>
      <c r="F119">
        <v>1.1700000000000008</v>
      </c>
      <c r="G119">
        <v>-3.4575713306624958</v>
      </c>
      <c r="H119">
        <v>0</v>
      </c>
      <c r="I119">
        <v>3</v>
      </c>
      <c r="Y119">
        <v>586</v>
      </c>
      <c r="AB119">
        <v>1.816029072458305</v>
      </c>
      <c r="AC119">
        <v>1</v>
      </c>
    </row>
    <row r="120" spans="5:29" x14ac:dyDescent="0.3">
      <c r="E120">
        <v>119</v>
      </c>
      <c r="F120">
        <v>1.1800000000000008</v>
      </c>
      <c r="G120">
        <v>-3.4166533033599955</v>
      </c>
      <c r="H120">
        <v>0</v>
      </c>
      <c r="I120">
        <v>4</v>
      </c>
      <c r="Y120">
        <v>591</v>
      </c>
      <c r="AB120">
        <v>1.8048232984497805</v>
      </c>
      <c r="AC120">
        <v>1</v>
      </c>
    </row>
    <row r="121" spans="5:29" x14ac:dyDescent="0.3">
      <c r="E121">
        <v>120</v>
      </c>
      <c r="F121">
        <v>1.1900000000000008</v>
      </c>
      <c r="G121">
        <v>-3.3699733754623775</v>
      </c>
      <c r="H121">
        <v>0</v>
      </c>
      <c r="I121">
        <v>5</v>
      </c>
      <c r="Y121">
        <v>596</v>
      </c>
      <c r="AB121">
        <v>1.7158435813932411</v>
      </c>
      <c r="AC121">
        <v>1</v>
      </c>
    </row>
    <row r="122" spans="5:29" x14ac:dyDescent="0.3">
      <c r="E122">
        <v>121</v>
      </c>
      <c r="F122">
        <v>1.2000000000000008</v>
      </c>
      <c r="G122">
        <v>-3.3176480808735778</v>
      </c>
      <c r="H122">
        <v>0</v>
      </c>
      <c r="I122">
        <v>1</v>
      </c>
      <c r="Y122">
        <v>601</v>
      </c>
      <c r="AB122">
        <v>1.5552391547335567</v>
      </c>
      <c r="AC122">
        <v>1</v>
      </c>
    </row>
    <row r="123" spans="5:29" x14ac:dyDescent="0.3">
      <c r="E123">
        <v>122</v>
      </c>
      <c r="F123">
        <v>1.2100000000000009</v>
      </c>
      <c r="G123">
        <v>-3.2598031812680008</v>
      </c>
      <c r="H123">
        <v>0</v>
      </c>
      <c r="I123">
        <v>2</v>
      </c>
      <c r="Y123">
        <v>606</v>
      </c>
      <c r="AB123">
        <v>1.3320771292899607</v>
      </c>
      <c r="AC123">
        <v>1</v>
      </c>
    </row>
    <row r="124" spans="5:29" x14ac:dyDescent="0.3">
      <c r="E124">
        <v>123</v>
      </c>
      <c r="F124">
        <v>1.2200000000000009</v>
      </c>
      <c r="G124">
        <v>-3.1965733897933886</v>
      </c>
      <c r="H124">
        <v>0</v>
      </c>
      <c r="I124">
        <v>3</v>
      </c>
      <c r="Y124">
        <v>611</v>
      </c>
      <c r="AB124">
        <v>1.0578638707157426</v>
      </c>
      <c r="AC124">
        <v>1</v>
      </c>
    </row>
    <row r="125" spans="5:29" x14ac:dyDescent="0.3">
      <c r="E125">
        <v>124</v>
      </c>
      <c r="F125">
        <v>1.2300000000000009</v>
      </c>
      <c r="G125">
        <v>-3.1281020806892958</v>
      </c>
      <c r="H125">
        <v>0</v>
      </c>
      <c r="I125">
        <v>4</v>
      </c>
      <c r="Y125">
        <v>616</v>
      </c>
      <c r="AB125">
        <v>0.74597496175276667</v>
      </c>
      <c r="AC125">
        <v>1</v>
      </c>
    </row>
    <row r="126" spans="5:29" x14ac:dyDescent="0.3">
      <c r="E126">
        <v>125</v>
      </c>
      <c r="F126">
        <v>1.2400000000000009</v>
      </c>
      <c r="G126">
        <v>-3.0545409854159375</v>
      </c>
      <c r="H126">
        <v>0</v>
      </c>
      <c r="I126">
        <v>5</v>
      </c>
      <c r="Y126">
        <v>621</v>
      </c>
      <c r="AB126">
        <v>0.41102111983268058</v>
      </c>
      <c r="AC126">
        <v>1</v>
      </c>
    </row>
    <row r="127" spans="5:29" x14ac:dyDescent="0.3">
      <c r="E127">
        <v>126</v>
      </c>
      <c r="F127">
        <v>1.2500000000000009</v>
      </c>
      <c r="G127">
        <v>-2.9760498759083296</v>
      </c>
      <c r="H127">
        <v>0</v>
      </c>
      <c r="I127">
        <v>1</v>
      </c>
      <c r="Y127">
        <v>626</v>
      </c>
      <c r="AB127">
        <v>6.817940323635982E-2</v>
      </c>
      <c r="AC127">
        <v>1</v>
      </c>
    </row>
    <row r="128" spans="5:29" x14ac:dyDescent="0.3">
      <c r="E128">
        <v>127</v>
      </c>
      <c r="F128">
        <v>1.2600000000000009</v>
      </c>
      <c r="G128">
        <v>-2.8927962355895995</v>
      </c>
      <c r="H128">
        <v>0</v>
      </c>
      <c r="I128">
        <v>2</v>
      </c>
      <c r="Y128">
        <v>631</v>
      </c>
      <c r="AB128">
        <v>-0.26748032573964492</v>
      </c>
      <c r="AC128">
        <v>1</v>
      </c>
    </row>
    <row r="129" spans="5:29" x14ac:dyDescent="0.3">
      <c r="E129">
        <v>128</v>
      </c>
      <c r="F129">
        <v>1.2700000000000009</v>
      </c>
      <c r="G129">
        <v>-2.8049549187950595</v>
      </c>
      <c r="H129">
        <v>0</v>
      </c>
      <c r="I129">
        <v>3</v>
      </c>
      <c r="Y129">
        <v>636</v>
      </c>
      <c r="AB129">
        <v>-0.58164439260578937</v>
      </c>
      <c r="AC129">
        <v>1</v>
      </c>
    </row>
    <row r="130" spans="5:29" x14ac:dyDescent="0.3">
      <c r="E130">
        <v>129</v>
      </c>
      <c r="F130">
        <v>1.2800000000000009</v>
      </c>
      <c r="G130">
        <v>-2.7127077992751336</v>
      </c>
      <c r="H130">
        <v>0</v>
      </c>
      <c r="I130">
        <v>4</v>
      </c>
      <c r="Y130">
        <v>641</v>
      </c>
      <c r="AB130">
        <v>-0.8613523972831626</v>
      </c>
      <c r="AC130">
        <v>1</v>
      </c>
    </row>
    <row r="131" spans="5:29" x14ac:dyDescent="0.3">
      <c r="E131">
        <v>130</v>
      </c>
      <c r="F131">
        <v>1.2900000000000009</v>
      </c>
      <c r="G131">
        <v>-2.6162434084604125</v>
      </c>
      <c r="H131">
        <v>0</v>
      </c>
      <c r="I131">
        <v>5</v>
      </c>
      <c r="Y131">
        <v>646</v>
      </c>
      <c r="AB131">
        <v>-1.0955180901346522</v>
      </c>
      <c r="AC131">
        <v>1</v>
      </c>
    </row>
    <row r="132" spans="5:29" x14ac:dyDescent="0.3">
      <c r="E132">
        <v>131</v>
      </c>
      <c r="F132">
        <v>1.3000000000000009</v>
      </c>
      <c r="G132">
        <v>-2.5157565641860358</v>
      </c>
      <c r="H132">
        <v>0</v>
      </c>
      <c r="I132">
        <v>1</v>
      </c>
      <c r="Y132">
        <v>651</v>
      </c>
      <c r="AB132">
        <v>-1.2753537484734379</v>
      </c>
      <c r="AC132">
        <v>1</v>
      </c>
    </row>
    <row r="133" spans="5:29" x14ac:dyDescent="0.3">
      <c r="E133">
        <v>132</v>
      </c>
      <c r="F133">
        <v>1.3100000000000009</v>
      </c>
      <c r="G133">
        <v>-2.4114479905851889</v>
      </c>
      <c r="H133">
        <v>0</v>
      </c>
      <c r="I133">
        <v>2</v>
      </c>
      <c r="Y133">
        <v>656</v>
      </c>
      <c r="AB133">
        <v>-1.394682540319272</v>
      </c>
      <c r="AC133">
        <v>1</v>
      </c>
    </row>
    <row r="134" spans="5:29" x14ac:dyDescent="0.3">
      <c r="E134">
        <v>133</v>
      </c>
      <c r="F134">
        <v>1.320000000000001</v>
      </c>
      <c r="G134">
        <v>-2.3035239298728238</v>
      </c>
      <c r="H134">
        <v>0</v>
      </c>
      <c r="I134">
        <v>3</v>
      </c>
      <c r="Y134">
        <v>661</v>
      </c>
      <c r="AB134">
        <v>-1.4501286680964971</v>
      </c>
      <c r="AC134">
        <v>1</v>
      </c>
    </row>
    <row r="135" spans="5:29" x14ac:dyDescent="0.3">
      <c r="E135">
        <v>134</v>
      </c>
      <c r="F135">
        <v>1.330000000000001</v>
      </c>
      <c r="G135">
        <v>-2.1921957467505546</v>
      </c>
      <c r="H135">
        <v>0</v>
      </c>
      <c r="I135">
        <v>4</v>
      </c>
      <c r="Y135">
        <v>666</v>
      </c>
      <c r="AB135">
        <v>-1.4411806758069581</v>
      </c>
      <c r="AC135">
        <v>1</v>
      </c>
    </row>
    <row r="136" spans="5:29" x14ac:dyDescent="0.3">
      <c r="E136">
        <v>135</v>
      </c>
      <c r="F136">
        <v>1.340000000000001</v>
      </c>
      <c r="G136">
        <v>-2.077679526172429</v>
      </c>
      <c r="H136">
        <v>0</v>
      </c>
      <c r="I136">
        <v>5</v>
      </c>
      <c r="Y136">
        <v>671</v>
      </c>
      <c r="AB136">
        <v>-1.3701289285967098</v>
      </c>
      <c r="AC136">
        <v>1</v>
      </c>
    </row>
    <row r="137" spans="5:29" x14ac:dyDescent="0.3">
      <c r="E137">
        <v>136</v>
      </c>
      <c r="F137">
        <v>1.350000000000001</v>
      </c>
      <c r="G137">
        <v>-1.9601956652183778</v>
      </c>
      <c r="H137">
        <v>0</v>
      </c>
      <c r="I137">
        <v>1</v>
      </c>
      <c r="Y137">
        <v>676</v>
      </c>
      <c r="AB137">
        <v>-1.2418836891044165</v>
      </c>
      <c r="AC137">
        <v>1</v>
      </c>
    </row>
    <row r="138" spans="5:29" x14ac:dyDescent="0.3">
      <c r="E138">
        <v>137</v>
      </c>
      <c r="F138">
        <v>1.360000000000001</v>
      </c>
      <c r="G138">
        <v>-1.8399684598281425</v>
      </c>
      <c r="H138">
        <v>0</v>
      </c>
      <c r="I138">
        <v>2</v>
      </c>
      <c r="Y138">
        <v>681</v>
      </c>
      <c r="AB138">
        <v>-1.063685192376528</v>
      </c>
      <c r="AC138">
        <v>1</v>
      </c>
    </row>
    <row r="139" spans="5:29" x14ac:dyDescent="0.3">
      <c r="E139">
        <v>138</v>
      </c>
      <c r="F139">
        <v>1.370000000000001</v>
      </c>
      <c r="G139">
        <v>-1.7172256871529514</v>
      </c>
      <c r="H139">
        <v>0</v>
      </c>
      <c r="I139">
        <v>3</v>
      </c>
      <c r="Y139">
        <v>686</v>
      </c>
      <c r="AB139">
        <v>-0.84472145800616738</v>
      </c>
      <c r="AC139">
        <v>1</v>
      </c>
    </row>
    <row r="140" spans="5:29" x14ac:dyDescent="0.3">
      <c r="E140">
        <v>139</v>
      </c>
      <c r="F140">
        <v>1.380000000000001</v>
      </c>
      <c r="G140">
        <v>-1.5921981842854003</v>
      </c>
      <c r="H140">
        <v>0</v>
      </c>
      <c r="I140">
        <v>4</v>
      </c>
      <c r="Y140">
        <v>691</v>
      </c>
      <c r="AB140">
        <v>-0.59567310574807197</v>
      </c>
      <c r="AC140">
        <v>1</v>
      </c>
    </row>
    <row r="141" spans="5:29" x14ac:dyDescent="0.3">
      <c r="E141">
        <v>140</v>
      </c>
      <c r="F141">
        <v>1.390000000000001</v>
      </c>
      <c r="G141">
        <v>-1.4651194241298382</v>
      </c>
      <c r="H141">
        <v>0</v>
      </c>
      <c r="I141">
        <v>5</v>
      </c>
      <c r="Y141">
        <v>696</v>
      </c>
      <c r="AB141">
        <v>-0.32820703043912031</v>
      </c>
      <c r="AC141">
        <v>1</v>
      </c>
    </row>
    <row r="142" spans="5:29" x14ac:dyDescent="0.3">
      <c r="E142">
        <v>141</v>
      </c>
      <c r="F142">
        <v>1.400000000000001</v>
      </c>
      <c r="G142">
        <v>-1.3362250891760179</v>
      </c>
      <c r="H142">
        <v>0</v>
      </c>
      <c r="I142">
        <v>1</v>
      </c>
      <c r="Y142">
        <v>701</v>
      </c>
      <c r="AB142">
        <v>-5.4442359269652359E-2</v>
      </c>
      <c r="AC142">
        <v>1</v>
      </c>
    </row>
    <row r="143" spans="5:29" x14ac:dyDescent="0.3">
      <c r="E143">
        <v>142</v>
      </c>
      <c r="F143">
        <v>1.410000000000001</v>
      </c>
      <c r="G143">
        <v>-1.2057526439378554</v>
      </c>
      <c r="H143">
        <v>0</v>
      </c>
      <c r="I143">
        <v>2</v>
      </c>
      <c r="Y143">
        <v>706</v>
      </c>
      <c r="AB143">
        <v>0.21358737830206556</v>
      </c>
      <c r="AC143">
        <v>1</v>
      </c>
    </row>
    <row r="144" spans="5:29" x14ac:dyDescent="0.3">
      <c r="E144">
        <v>143</v>
      </c>
      <c r="F144">
        <v>1.420000000000001</v>
      </c>
      <c r="G144">
        <v>-1.0739409068169679</v>
      </c>
      <c r="H144">
        <v>0</v>
      </c>
      <c r="I144">
        <v>3</v>
      </c>
      <c r="Y144">
        <v>711</v>
      </c>
      <c r="AB144">
        <v>0.46445248104609232</v>
      </c>
      <c r="AC144">
        <v>1</v>
      </c>
    </row>
    <row r="145" spans="5:29" x14ac:dyDescent="0.3">
      <c r="E145">
        <v>144</v>
      </c>
      <c r="F145">
        <v>1.430000000000001</v>
      </c>
      <c r="G145">
        <v>-0.94102962214713126</v>
      </c>
      <c r="H145">
        <v>0</v>
      </c>
      <c r="I145">
        <v>4</v>
      </c>
      <c r="Y145">
        <v>716</v>
      </c>
      <c r="AB145">
        <v>0.68780385929781251</v>
      </c>
      <c r="AC145">
        <v>1</v>
      </c>
    </row>
    <row r="146" spans="5:29" x14ac:dyDescent="0.3">
      <c r="E146">
        <v>145</v>
      </c>
      <c r="F146">
        <v>1.4400000000000011</v>
      </c>
      <c r="G146">
        <v>-0.80725903317095982</v>
      </c>
      <c r="H146">
        <v>0</v>
      </c>
      <c r="I146">
        <v>5</v>
      </c>
      <c r="Y146">
        <v>721</v>
      </c>
      <c r="AB146">
        <v>0.87478896291676578</v>
      </c>
      <c r="AC146">
        <v>1</v>
      </c>
    </row>
    <row r="147" spans="5:29" x14ac:dyDescent="0.3">
      <c r="E147">
        <v>146</v>
      </c>
      <c r="F147">
        <v>1.4500000000000011</v>
      </c>
      <c r="G147">
        <v>-0.67286945669392595</v>
      </c>
      <c r="H147">
        <v>0</v>
      </c>
      <c r="I147">
        <v>1</v>
      </c>
      <c r="Y147">
        <v>726</v>
      </c>
      <c r="AB147">
        <v>1.0183906528115705</v>
      </c>
      <c r="AC147">
        <v>1</v>
      </c>
    </row>
    <row r="148" spans="5:29" x14ac:dyDescent="0.3">
      <c r="E148">
        <v>147</v>
      </c>
      <c r="F148">
        <v>1.4600000000000011</v>
      </c>
      <c r="G148">
        <v>-0.53810086015348013</v>
      </c>
      <c r="H148">
        <v>0</v>
      </c>
      <c r="I148">
        <v>2</v>
      </c>
      <c r="Y148">
        <v>731</v>
      </c>
      <c r="AB148">
        <v>1.1136766284654447</v>
      </c>
      <c r="AC148">
        <v>1</v>
      </c>
    </row>
    <row r="149" spans="5:29" x14ac:dyDescent="0.3">
      <c r="E149">
        <v>148</v>
      </c>
      <c r="F149">
        <v>1.4700000000000011</v>
      </c>
      <c r="G149">
        <v>-0.40319244183237801</v>
      </c>
      <c r="H149">
        <v>0</v>
      </c>
      <c r="I149">
        <v>3</v>
      </c>
      <c r="Y149">
        <v>736</v>
      </c>
      <c r="AB149">
        <v>1.1579512607629803</v>
      </c>
      <c r="AC149">
        <v>1</v>
      </c>
    </row>
    <row r="150" spans="5:29" x14ac:dyDescent="0.3">
      <c r="E150">
        <v>149</v>
      </c>
      <c r="F150">
        <v>1.4800000000000011</v>
      </c>
      <c r="G150">
        <v>-0.26838221493541836</v>
      </c>
      <c r="H150">
        <v>0</v>
      </c>
      <c r="I150">
        <v>4</v>
      </c>
      <c r="Y150">
        <v>741</v>
      </c>
      <c r="AB150">
        <v>1.1508061437944661</v>
      </c>
      <c r="AC150">
        <v>1</v>
      </c>
    </row>
    <row r="151" spans="5:29" x14ac:dyDescent="0.3">
      <c r="E151">
        <v>150</v>
      </c>
      <c r="F151">
        <v>1.4900000000000011</v>
      </c>
      <c r="G151">
        <v>-0.13390659623765677</v>
      </c>
      <c r="H151">
        <v>0</v>
      </c>
      <c r="I151">
        <v>5</v>
      </c>
      <c r="Y151">
        <v>746</v>
      </c>
      <c r="AB151">
        <v>1.0940701712759062</v>
      </c>
      <c r="AC151">
        <v>1</v>
      </c>
    </row>
    <row r="152" spans="5:29" x14ac:dyDescent="0.3">
      <c r="E152">
        <v>151</v>
      </c>
      <c r="F152">
        <v>1.5000000000000011</v>
      </c>
      <c r="G152">
        <v>1.3376999956827804E-14</v>
      </c>
      <c r="H152">
        <v>0</v>
      </c>
      <c r="I152">
        <v>1</v>
      </c>
      <c r="Y152">
        <v>751</v>
      </c>
      <c r="AB152">
        <v>0.99166426756264414</v>
      </c>
      <c r="AC152">
        <v>1</v>
      </c>
    </row>
    <row r="153" spans="5:29" x14ac:dyDescent="0.3">
      <c r="E153">
        <v>152</v>
      </c>
      <c r="F153">
        <v>1.5100000000000011</v>
      </c>
      <c r="G153">
        <v>0.1331055621655774</v>
      </c>
      <c r="H153">
        <v>0</v>
      </c>
      <c r="I153">
        <v>2</v>
      </c>
      <c r="Y153">
        <v>756</v>
      </c>
      <c r="AB153">
        <v>0</v>
      </c>
      <c r="AC153">
        <v>1</v>
      </c>
    </row>
    <row r="154" spans="5:29" x14ac:dyDescent="0.3">
      <c r="E154">
        <v>153</v>
      </c>
      <c r="F154">
        <v>1.5200000000000011</v>
      </c>
      <c r="G154">
        <v>0.26518087481294411</v>
      </c>
      <c r="H154">
        <v>0</v>
      </c>
      <c r="I154">
        <v>3</v>
      </c>
      <c r="Y154">
        <v>761</v>
      </c>
      <c r="AB154">
        <v>0</v>
      </c>
      <c r="AC154">
        <v>1</v>
      </c>
    </row>
    <row r="155" spans="5:29" x14ac:dyDescent="0.3">
      <c r="E155">
        <v>154</v>
      </c>
      <c r="F155">
        <v>1.5300000000000011</v>
      </c>
      <c r="G155">
        <v>0.39599990490918147</v>
      </c>
      <c r="H155">
        <v>0</v>
      </c>
      <c r="I155">
        <v>4</v>
      </c>
      <c r="Y155">
        <v>766</v>
      </c>
      <c r="AB155">
        <v>0</v>
      </c>
      <c r="AC155">
        <v>1</v>
      </c>
    </row>
    <row r="156" spans="5:29" x14ac:dyDescent="0.3">
      <c r="E156">
        <v>155</v>
      </c>
      <c r="F156">
        <v>1.5400000000000011</v>
      </c>
      <c r="G156">
        <v>0.5253401801763079</v>
      </c>
      <c r="H156">
        <v>0</v>
      </c>
      <c r="I156">
        <v>5</v>
      </c>
      <c r="Y156">
        <v>771</v>
      </c>
      <c r="AB156">
        <v>0</v>
      </c>
      <c r="AC156">
        <v>1</v>
      </c>
    </row>
    <row r="157" spans="5:29" x14ac:dyDescent="0.3">
      <c r="E157">
        <v>156</v>
      </c>
      <c r="F157">
        <v>1.5500000000000012</v>
      </c>
      <c r="G157">
        <v>0.65298315890986025</v>
      </c>
      <c r="H157">
        <v>0</v>
      </c>
      <c r="I157">
        <v>1</v>
      </c>
      <c r="Y157">
        <v>776</v>
      </c>
      <c r="AB157">
        <v>0</v>
      </c>
      <c r="AC157">
        <v>1</v>
      </c>
    </row>
    <row r="158" spans="5:29" x14ac:dyDescent="0.3">
      <c r="E158">
        <v>157</v>
      </c>
      <c r="F158">
        <v>1.5600000000000012</v>
      </c>
      <c r="G158">
        <v>0.77871459067496496</v>
      </c>
      <c r="H158">
        <v>0</v>
      </c>
      <c r="I158">
        <v>2</v>
      </c>
      <c r="Y158">
        <v>781</v>
      </c>
      <c r="AB158">
        <v>0</v>
      </c>
      <c r="AC158">
        <v>1</v>
      </c>
    </row>
    <row r="159" spans="5:29" x14ac:dyDescent="0.3">
      <c r="E159">
        <v>158</v>
      </c>
      <c r="F159">
        <v>1.5700000000000012</v>
      </c>
      <c r="G159">
        <v>0.90232486730045569</v>
      </c>
      <c r="H159">
        <v>0</v>
      </c>
      <c r="I159">
        <v>3</v>
      </c>
      <c r="Y159">
        <v>786</v>
      </c>
      <c r="AB159">
        <v>0</v>
      </c>
      <c r="AC159">
        <v>1</v>
      </c>
    </row>
    <row r="160" spans="5:29" x14ac:dyDescent="0.3">
      <c r="E160">
        <v>159</v>
      </c>
      <c r="F160">
        <v>1.5800000000000012</v>
      </c>
      <c r="G160">
        <v>1.0236093636119306</v>
      </c>
      <c r="H160">
        <v>0</v>
      </c>
      <c r="I160">
        <v>4</v>
      </c>
      <c r="Y160">
        <v>791</v>
      </c>
      <c r="AB160">
        <v>0</v>
      </c>
      <c r="AC160">
        <v>1</v>
      </c>
    </row>
    <row r="161" spans="5:29" x14ac:dyDescent="0.3">
      <c r="E161">
        <v>160</v>
      </c>
      <c r="F161">
        <v>1.5900000000000012</v>
      </c>
      <c r="G161">
        <v>1.142368767366182</v>
      </c>
      <c r="H161">
        <v>0</v>
      </c>
      <c r="I161">
        <v>5</v>
      </c>
      <c r="Y161">
        <v>796</v>
      </c>
      <c r="AB161">
        <v>0</v>
      </c>
      <c r="AC161">
        <v>1</v>
      </c>
    </row>
    <row r="162" spans="5:29" x14ac:dyDescent="0.3">
      <c r="E162">
        <v>161</v>
      </c>
      <c r="F162">
        <v>1.6000000000000012</v>
      </c>
      <c r="G162">
        <v>1.2584093978714497</v>
      </c>
      <c r="H162">
        <v>0</v>
      </c>
      <c r="I162">
        <v>1</v>
      </c>
      <c r="Y162">
        <v>801</v>
      </c>
      <c r="AB162">
        <v>0</v>
      </c>
      <c r="AC162">
        <v>1</v>
      </c>
    </row>
    <row r="163" spans="5:29" x14ac:dyDescent="0.3">
      <c r="E163">
        <v>162</v>
      </c>
      <c r="F163">
        <v>1.6100000000000012</v>
      </c>
      <c r="G163">
        <v>1.3715435128011253</v>
      </c>
      <c r="H163">
        <v>0</v>
      </c>
      <c r="I163">
        <v>2</v>
      </c>
      <c r="Y163">
        <v>806</v>
      </c>
      <c r="AB163">
        <v>0</v>
      </c>
      <c r="AC163">
        <v>1</v>
      </c>
    </row>
    <row r="164" spans="5:29" x14ac:dyDescent="0.3">
      <c r="E164">
        <v>163</v>
      </c>
      <c r="F164">
        <v>1.6200000000000012</v>
      </c>
      <c r="G164">
        <v>1.4815896027320912</v>
      </c>
      <c r="H164">
        <v>0</v>
      </c>
      <c r="I164">
        <v>3</v>
      </c>
      <c r="Y164">
        <v>811</v>
      </c>
      <c r="AB164">
        <v>0</v>
      </c>
      <c r="AC164">
        <v>1</v>
      </c>
    </row>
    <row r="165" spans="5:29" x14ac:dyDescent="0.3">
      <c r="E165">
        <v>164</v>
      </c>
      <c r="F165">
        <v>1.6300000000000012</v>
      </c>
      <c r="G165">
        <v>1.588372672963289</v>
      </c>
      <c r="H165">
        <v>0</v>
      </c>
      <c r="I165">
        <v>4</v>
      </c>
      <c r="Y165">
        <v>816</v>
      </c>
      <c r="AB165">
        <v>0</v>
      </c>
      <c r="AC165">
        <v>1</v>
      </c>
    </row>
    <row r="166" spans="5:29" x14ac:dyDescent="0.3">
      <c r="E166">
        <v>165</v>
      </c>
      <c r="F166">
        <v>1.6400000000000012</v>
      </c>
      <c r="G166">
        <v>1.6917245121952242</v>
      </c>
      <c r="H166">
        <v>0</v>
      </c>
      <c r="I166">
        <v>5</v>
      </c>
      <c r="Y166">
        <v>821</v>
      </c>
      <c r="AB166">
        <v>0</v>
      </c>
      <c r="AC166">
        <v>1</v>
      </c>
    </row>
    <row r="167" spans="5:29" x14ac:dyDescent="0.3">
      <c r="E167">
        <v>166</v>
      </c>
      <c r="F167">
        <v>1.6500000000000012</v>
      </c>
      <c r="G167">
        <v>1.791483947676574</v>
      </c>
      <c r="H167">
        <v>0</v>
      </c>
      <c r="I167">
        <v>1</v>
      </c>
      <c r="Y167">
        <v>826</v>
      </c>
      <c r="AB167">
        <v>0</v>
      </c>
      <c r="AC167">
        <v>1</v>
      </c>
    </row>
    <row r="168" spans="5:29" x14ac:dyDescent="0.3">
      <c r="E168">
        <v>167</v>
      </c>
      <c r="F168">
        <v>1.6600000000000013</v>
      </c>
      <c r="G168">
        <v>1.8874970864503515</v>
      </c>
      <c r="H168">
        <v>0</v>
      </c>
      <c r="I168">
        <v>2</v>
      </c>
      <c r="Y168">
        <v>831</v>
      </c>
      <c r="AB168">
        <v>0</v>
      </c>
      <c r="AC168">
        <v>1</v>
      </c>
    </row>
    <row r="169" spans="5:29" x14ac:dyDescent="0.3">
      <c r="E169">
        <v>168</v>
      </c>
      <c r="F169">
        <v>1.6700000000000013</v>
      </c>
      <c r="G169">
        <v>1.9796175423585929</v>
      </c>
      <c r="H169">
        <v>0</v>
      </c>
      <c r="I169">
        <v>3</v>
      </c>
      <c r="Y169">
        <v>836</v>
      </c>
      <c r="AB169">
        <v>0</v>
      </c>
      <c r="AC169">
        <v>1</v>
      </c>
    </row>
    <row r="170" spans="5:29" x14ac:dyDescent="0.3">
      <c r="E170">
        <v>169</v>
      </c>
      <c r="F170">
        <v>1.6800000000000013</v>
      </c>
      <c r="G170">
        <v>2.0677066484917526</v>
      </c>
      <c r="H170">
        <v>0</v>
      </c>
      <c r="I170">
        <v>4</v>
      </c>
      <c r="Y170">
        <v>841</v>
      </c>
      <c r="AB170">
        <v>0</v>
      </c>
      <c r="AC170">
        <v>1</v>
      </c>
    </row>
    <row r="171" spans="5:29" x14ac:dyDescent="0.3">
      <c r="E171">
        <v>170</v>
      </c>
      <c r="F171">
        <v>1.6900000000000013</v>
      </c>
      <c r="G171">
        <v>2.1516336547962993</v>
      </c>
      <c r="H171">
        <v>0</v>
      </c>
      <c r="I171">
        <v>5</v>
      </c>
      <c r="Y171">
        <v>846</v>
      </c>
      <c r="AB171">
        <v>0</v>
      </c>
      <c r="AC171">
        <v>1</v>
      </c>
    </row>
    <row r="172" spans="5:29" x14ac:dyDescent="0.3">
      <c r="E172">
        <v>171</v>
      </c>
      <c r="F172">
        <v>1.7000000000000013</v>
      </c>
      <c r="G172">
        <v>2.2312759105819508</v>
      </c>
      <c r="H172">
        <v>0</v>
      </c>
      <c r="I172">
        <v>1</v>
      </c>
      <c r="Y172">
        <v>851</v>
      </c>
      <c r="AB172">
        <v>0</v>
      </c>
      <c r="AC172">
        <v>1</v>
      </c>
    </row>
    <row r="173" spans="5:29" x14ac:dyDescent="0.3">
      <c r="E173">
        <v>172</v>
      </c>
      <c r="F173">
        <v>1.7100000000000013</v>
      </c>
      <c r="G173">
        <v>2.3065190316979658</v>
      </c>
      <c r="H173">
        <v>0</v>
      </c>
      <c r="I173">
        <v>2</v>
      </c>
      <c r="Y173">
        <v>856</v>
      </c>
      <c r="AB173">
        <v>0</v>
      </c>
      <c r="AC173">
        <v>1</v>
      </c>
    </row>
    <row r="174" spans="5:29" x14ac:dyDescent="0.3">
      <c r="E174">
        <v>173</v>
      </c>
      <c r="F174">
        <v>1.7200000000000013</v>
      </c>
      <c r="G174">
        <v>2.3772570521763638</v>
      </c>
      <c r="H174">
        <v>0</v>
      </c>
      <c r="I174">
        <v>3</v>
      </c>
      <c r="Y174">
        <v>861</v>
      </c>
      <c r="AB174">
        <v>0</v>
      </c>
      <c r="AC174">
        <v>1</v>
      </c>
    </row>
    <row r="175" spans="5:29" x14ac:dyDescent="0.3">
      <c r="E175">
        <v>174</v>
      </c>
      <c r="F175">
        <v>1.7300000000000013</v>
      </c>
      <c r="G175">
        <v>2.4433925601683328</v>
      </c>
      <c r="H175">
        <v>0</v>
      </c>
      <c r="I175">
        <v>4</v>
      </c>
      <c r="Y175">
        <v>866</v>
      </c>
      <c r="AB175">
        <v>0</v>
      </c>
      <c r="AC175">
        <v>1</v>
      </c>
    </row>
    <row r="176" spans="5:29" x14ac:dyDescent="0.3">
      <c r="E176">
        <v>175</v>
      </c>
      <c r="F176">
        <v>1.7400000000000013</v>
      </c>
      <c r="G176">
        <v>2.5048368180288367</v>
      </c>
      <c r="H176">
        <v>0</v>
      </c>
      <c r="I176">
        <v>5</v>
      </c>
      <c r="Y176">
        <v>871</v>
      </c>
      <c r="AB176">
        <v>0</v>
      </c>
      <c r="AC176">
        <v>1</v>
      </c>
    </row>
    <row r="177" spans="5:29" x14ac:dyDescent="0.3">
      <c r="E177">
        <v>176</v>
      </c>
      <c r="F177">
        <v>1.7500000000000013</v>
      </c>
      <c r="G177">
        <v>2.5615098664331164</v>
      </c>
      <c r="H177">
        <v>0</v>
      </c>
      <c r="I177">
        <v>1</v>
      </c>
      <c r="Y177">
        <v>876</v>
      </c>
      <c r="AB177">
        <v>0</v>
      </c>
      <c r="AC177">
        <v>1</v>
      </c>
    </row>
    <row r="178" spans="5:29" x14ac:dyDescent="0.3">
      <c r="E178">
        <v>177</v>
      </c>
      <c r="F178">
        <v>1.7600000000000013</v>
      </c>
      <c r="G178">
        <v>2.6133406124375647</v>
      </c>
      <c r="H178">
        <v>0</v>
      </c>
      <c r="I178">
        <v>2</v>
      </c>
      <c r="Y178">
        <v>881</v>
      </c>
      <c r="AB178">
        <v>0</v>
      </c>
      <c r="AC178">
        <v>1</v>
      </c>
    </row>
    <row r="179" spans="5:29" x14ac:dyDescent="0.3">
      <c r="E179">
        <v>178</v>
      </c>
      <c r="F179">
        <v>1.7700000000000014</v>
      </c>
      <c r="G179">
        <v>2.6602669014262239</v>
      </c>
      <c r="H179">
        <v>0</v>
      </c>
      <c r="I179">
        <v>3</v>
      </c>
      <c r="Y179">
        <v>886</v>
      </c>
      <c r="AB179">
        <v>0</v>
      </c>
      <c r="AC179">
        <v>1</v>
      </c>
    </row>
    <row r="180" spans="5:29" x14ac:dyDescent="0.3">
      <c r="E180">
        <v>179</v>
      </c>
      <c r="F180">
        <v>1.7800000000000014</v>
      </c>
      <c r="G180">
        <v>2.7022355729127887</v>
      </c>
      <c r="H180">
        <v>0</v>
      </c>
      <c r="I180">
        <v>4</v>
      </c>
      <c r="Y180">
        <v>891</v>
      </c>
      <c r="AB180">
        <v>0</v>
      </c>
      <c r="AC180">
        <v>1</v>
      </c>
    </row>
    <row r="181" spans="5:29" x14ac:dyDescent="0.3">
      <c r="E181">
        <v>180</v>
      </c>
      <c r="F181">
        <v>1.7900000000000014</v>
      </c>
      <c r="G181">
        <v>2.7392025001965954</v>
      </c>
      <c r="H181">
        <v>0</v>
      </c>
      <c r="I181">
        <v>5</v>
      </c>
      <c r="Y181">
        <v>896</v>
      </c>
      <c r="AB181">
        <v>0</v>
      </c>
      <c r="AC181">
        <v>1</v>
      </c>
    </row>
    <row r="182" spans="5:29" x14ac:dyDescent="0.3">
      <c r="E182">
        <v>181</v>
      </c>
      <c r="F182">
        <v>1.8000000000000014</v>
      </c>
      <c r="G182">
        <v>2.7711326138994821</v>
      </c>
      <c r="H182">
        <v>0</v>
      </c>
      <c r="I182">
        <v>1</v>
      </c>
      <c r="Y182">
        <v>901</v>
      </c>
      <c r="AB182">
        <v>0</v>
      </c>
      <c r="AC182">
        <v>1</v>
      </c>
    </row>
    <row r="183" spans="5:29" x14ac:dyDescent="0.3">
      <c r="E183">
        <v>182</v>
      </c>
      <c r="F183">
        <v>1.8100000000000014</v>
      </c>
      <c r="G183">
        <v>2.7979999094385533</v>
      </c>
      <c r="H183">
        <v>0</v>
      </c>
      <c r="I183">
        <v>2</v>
      </c>
      <c r="Y183">
        <v>906</v>
      </c>
      <c r="AB183">
        <v>0</v>
      </c>
      <c r="AC183">
        <v>1</v>
      </c>
    </row>
    <row r="184" spans="5:29" x14ac:dyDescent="0.3">
      <c r="E184">
        <v>183</v>
      </c>
      <c r="F184">
        <v>1.8200000000000014</v>
      </c>
      <c r="G184">
        <v>2.819787438517805</v>
      </c>
      <c r="H184">
        <v>0</v>
      </c>
      <c r="I184">
        <v>3</v>
      </c>
      <c r="Y184">
        <v>911</v>
      </c>
      <c r="AB184">
        <v>0</v>
      </c>
      <c r="AC184">
        <v>1</v>
      </c>
    </row>
    <row r="185" spans="5:29" x14ac:dyDescent="0.3">
      <c r="E185">
        <v>184</v>
      </c>
      <c r="F185">
        <v>1.8300000000000014</v>
      </c>
      <c r="G185">
        <v>2.8364872847491713</v>
      </c>
      <c r="H185">
        <v>0</v>
      </c>
      <c r="I185">
        <v>4</v>
      </c>
      <c r="Y185">
        <v>916</v>
      </c>
      <c r="AB185">
        <v>0</v>
      </c>
      <c r="AC185">
        <v>1</v>
      </c>
    </row>
    <row r="186" spans="5:29" x14ac:dyDescent="0.3">
      <c r="E186">
        <v>185</v>
      </c>
      <c r="F186">
        <v>1.8400000000000014</v>
      </c>
      <c r="G186">
        <v>2.8481005235407948</v>
      </c>
      <c r="H186">
        <v>0</v>
      </c>
      <c r="I186">
        <v>5</v>
      </c>
      <c r="Y186">
        <v>921</v>
      </c>
      <c r="AB186">
        <v>0</v>
      </c>
      <c r="AC186">
        <v>1</v>
      </c>
    </row>
    <row r="187" spans="5:29" x14ac:dyDescent="0.3">
      <c r="E187">
        <v>186</v>
      </c>
      <c r="F187">
        <v>1.8500000000000014</v>
      </c>
      <c r="G187">
        <v>2.8546371664171506</v>
      </c>
      <c r="H187">
        <v>0</v>
      </c>
      <c r="I187">
        <v>1</v>
      </c>
      <c r="Y187">
        <v>926</v>
      </c>
      <c r="AB187">
        <v>0</v>
      </c>
      <c r="AC187">
        <v>1</v>
      </c>
    </row>
    <row r="188" spans="5:29" x14ac:dyDescent="0.3">
      <c r="E188">
        <v>187</v>
      </c>
      <c r="F188">
        <v>1.8600000000000014</v>
      </c>
      <c r="G188">
        <v>2.8561160899620375</v>
      </c>
      <c r="H188">
        <v>0</v>
      </c>
      <c r="I188">
        <v>2</v>
      </c>
      <c r="Y188">
        <v>931</v>
      </c>
      <c r="AB188">
        <v>0</v>
      </c>
      <c r="AC188">
        <v>1</v>
      </c>
    </row>
    <row r="189" spans="5:29" x14ac:dyDescent="0.3">
      <c r="E189">
        <v>188</v>
      </c>
      <c r="F189">
        <v>1.8700000000000014</v>
      </c>
      <c r="G189">
        <v>2.8525649496013505</v>
      </c>
      <c r="H189">
        <v>0</v>
      </c>
      <c r="I189">
        <v>3</v>
      </c>
      <c r="Y189">
        <v>936</v>
      </c>
      <c r="AB189">
        <v>0</v>
      </c>
      <c r="AC189">
        <v>1</v>
      </c>
    </row>
    <row r="190" spans="5:29" x14ac:dyDescent="0.3">
      <c r="E190">
        <v>189</v>
      </c>
      <c r="F190">
        <v>1.8800000000000014</v>
      </c>
      <c r="G190">
        <v>2.8440200784678984</v>
      </c>
      <c r="H190">
        <v>0</v>
      </c>
      <c r="I190">
        <v>4</v>
      </c>
      <c r="Y190">
        <v>941</v>
      </c>
      <c r="AB190">
        <v>0</v>
      </c>
      <c r="AC190">
        <v>1</v>
      </c>
    </row>
    <row r="191" spans="5:29" x14ac:dyDescent="0.3">
      <c r="E191">
        <v>190</v>
      </c>
      <c r="F191">
        <v>1.8900000000000015</v>
      </c>
      <c r="G191">
        <v>2.8305263716153033</v>
      </c>
      <c r="H191">
        <v>0</v>
      </c>
      <c r="I191">
        <v>5</v>
      </c>
      <c r="Y191">
        <v>946</v>
      </c>
      <c r="AB191">
        <v>0</v>
      </c>
      <c r="AC191">
        <v>1</v>
      </c>
    </row>
    <row r="192" spans="5:29" x14ac:dyDescent="0.3">
      <c r="E192">
        <v>191</v>
      </c>
      <c r="F192">
        <v>1.9000000000000015</v>
      </c>
      <c r="G192">
        <v>2.8121371558721866</v>
      </c>
      <c r="H192">
        <v>0</v>
      </c>
      <c r="I192">
        <v>1</v>
      </c>
      <c r="Y192">
        <v>951</v>
      </c>
      <c r="AB192">
        <v>0</v>
      </c>
      <c r="AC192">
        <v>1</v>
      </c>
    </row>
    <row r="193" spans="5:29" x14ac:dyDescent="0.3">
      <c r="E193">
        <v>192</v>
      </c>
      <c r="F193">
        <v>1.9100000000000015</v>
      </c>
      <c r="G193">
        <v>2.7889140456513486</v>
      </c>
      <c r="H193">
        <v>0</v>
      </c>
      <c r="I193">
        <v>2</v>
      </c>
      <c r="Y193">
        <v>956</v>
      </c>
      <c r="AB193">
        <v>0</v>
      </c>
      <c r="AC193">
        <v>1</v>
      </c>
    </row>
    <row r="194" spans="5:29" x14ac:dyDescent="0.3">
      <c r="E194">
        <v>193</v>
      </c>
      <c r="F194">
        <v>1.9200000000000015</v>
      </c>
      <c r="G194">
        <v>2.7609267850514421</v>
      </c>
      <c r="H194">
        <v>0</v>
      </c>
      <c r="I194">
        <v>3</v>
      </c>
      <c r="Y194">
        <v>961</v>
      </c>
      <c r="AB194">
        <v>0</v>
      </c>
      <c r="AC194">
        <v>1</v>
      </c>
    </row>
    <row r="195" spans="5:29" x14ac:dyDescent="0.3">
      <c r="E195">
        <v>194</v>
      </c>
      <c r="F195">
        <v>1.9300000000000015</v>
      </c>
      <c r="G195">
        <v>2.7282530766107551</v>
      </c>
      <c r="H195">
        <v>0</v>
      </c>
      <c r="I195">
        <v>4</v>
      </c>
      <c r="Y195">
        <v>966</v>
      </c>
      <c r="AB195">
        <v>0</v>
      </c>
      <c r="AC195">
        <v>1</v>
      </c>
    </row>
    <row r="196" spans="5:29" x14ac:dyDescent="0.3">
      <c r="E196">
        <v>195</v>
      </c>
      <c r="F196">
        <v>1.9400000000000015</v>
      </c>
      <c r="G196">
        <v>2.6909783970939904</v>
      </c>
      <c r="H196">
        <v>0</v>
      </c>
      <c r="I196">
        <v>5</v>
      </c>
      <c r="Y196">
        <v>971</v>
      </c>
      <c r="AB196">
        <v>0</v>
      </c>
      <c r="AC196">
        <v>1</v>
      </c>
    </row>
    <row r="197" spans="5:29" x14ac:dyDescent="0.3">
      <c r="E197">
        <v>196</v>
      </c>
      <c r="F197">
        <v>1.9500000000000015</v>
      </c>
      <c r="G197">
        <v>2.6491958007134713</v>
      </c>
      <c r="H197">
        <v>0</v>
      </c>
      <c r="I197">
        <v>1</v>
      </c>
      <c r="Y197">
        <v>976</v>
      </c>
      <c r="AB197">
        <v>0</v>
      </c>
      <c r="AC197">
        <v>1</v>
      </c>
    </row>
    <row r="198" spans="5:29" x14ac:dyDescent="0.3">
      <c r="E198">
        <v>197</v>
      </c>
      <c r="F198">
        <v>1.9600000000000015</v>
      </c>
      <c r="G198">
        <v>2.6030057102059092</v>
      </c>
      <c r="H198">
        <v>0</v>
      </c>
      <c r="I198">
        <v>2</v>
      </c>
      <c r="Y198">
        <v>981</v>
      </c>
      <c r="AB198">
        <v>0</v>
      </c>
      <c r="AC198">
        <v>1</v>
      </c>
    </row>
    <row r="199" spans="5:29" x14ac:dyDescent="0.3">
      <c r="E199">
        <v>198</v>
      </c>
      <c r="F199">
        <v>1.9700000000000015</v>
      </c>
      <c r="G199">
        <v>2.5525156962046567</v>
      </c>
      <c r="H199">
        <v>0</v>
      </c>
      <c r="I199">
        <v>3</v>
      </c>
      <c r="Y199">
        <v>986</v>
      </c>
      <c r="AB199">
        <v>0</v>
      </c>
      <c r="AC199">
        <v>1</v>
      </c>
    </row>
    <row r="200" spans="5:29" x14ac:dyDescent="0.3">
      <c r="E200">
        <v>199</v>
      </c>
      <c r="F200">
        <v>1.9800000000000015</v>
      </c>
      <c r="G200">
        <v>2.497840245365353</v>
      </c>
      <c r="H200">
        <v>0</v>
      </c>
      <c r="I200">
        <v>4</v>
      </c>
      <c r="Y200">
        <v>991</v>
      </c>
      <c r="AB200">
        <v>0</v>
      </c>
      <c r="AC200">
        <v>1</v>
      </c>
    </row>
    <row r="201" spans="5:29" x14ac:dyDescent="0.3">
      <c r="E201">
        <v>200</v>
      </c>
      <c r="F201">
        <v>1.9900000000000015</v>
      </c>
      <c r="G201">
        <v>2.439100517719873</v>
      </c>
      <c r="H201">
        <v>0</v>
      </c>
      <c r="I201">
        <v>5</v>
      </c>
      <c r="Y201">
        <v>996</v>
      </c>
      <c r="AB201">
        <v>0</v>
      </c>
      <c r="AC201">
        <v>1</v>
      </c>
    </row>
    <row r="202" spans="5:29" x14ac:dyDescent="0.3">
      <c r="E202">
        <v>201</v>
      </c>
      <c r="F202">
        <v>2.0000000000000013</v>
      </c>
      <c r="G202">
        <v>2.3764240937496286</v>
      </c>
      <c r="H202">
        <v>0</v>
      </c>
      <c r="I202">
        <v>1</v>
      </c>
      <c r="Y202">
        <v>1001</v>
      </c>
      <c r="AB202">
        <v>0</v>
      </c>
      <c r="AC202">
        <v>1</v>
      </c>
    </row>
    <row r="203" spans="5:29" x14ac:dyDescent="0.3">
      <c r="E203">
        <v>202</v>
      </c>
      <c r="F203">
        <v>2.0100000000000011</v>
      </c>
      <c r="G203">
        <v>2.3099447116843672</v>
      </c>
      <c r="H203">
        <v>0</v>
      </c>
      <c r="I203">
        <v>2</v>
      </c>
    </row>
    <row r="204" spans="5:29" x14ac:dyDescent="0.3">
      <c r="E204">
        <v>203</v>
      </c>
      <c r="F204">
        <v>2.0200000000000009</v>
      </c>
      <c r="G204">
        <v>2.2398019955467454</v>
      </c>
      <c r="H204">
        <v>0</v>
      </c>
      <c r="I204">
        <v>3</v>
      </c>
    </row>
    <row r="205" spans="5:29" x14ac:dyDescent="0.3">
      <c r="E205">
        <v>204</v>
      </c>
      <c r="F205">
        <v>2.0300000000000007</v>
      </c>
      <c r="G205">
        <v>2.1661411744762544</v>
      </c>
      <c r="H205">
        <v>0</v>
      </c>
      <c r="I205">
        <v>4</v>
      </c>
    </row>
    <row r="206" spans="5:29" x14ac:dyDescent="0.3">
      <c r="E206">
        <v>205</v>
      </c>
      <c r="F206">
        <v>2.0400000000000005</v>
      </c>
      <c r="G206">
        <v>2.0891127938779577</v>
      </c>
      <c r="H206">
        <v>0</v>
      </c>
      <c r="I206">
        <v>5</v>
      </c>
    </row>
    <row r="207" spans="5:29" x14ac:dyDescent="0.3">
      <c r="E207">
        <v>206</v>
      </c>
      <c r="F207">
        <v>2.0500000000000003</v>
      </c>
      <c r="G207">
        <v>2.0088724189529201</v>
      </c>
      <c r="H207">
        <v>0</v>
      </c>
      <c r="I207">
        <v>1</v>
      </c>
    </row>
    <row r="208" spans="5:29" x14ac:dyDescent="0.3">
      <c r="E208">
        <v>207</v>
      </c>
      <c r="F208">
        <v>2.06</v>
      </c>
      <c r="G208">
        <v>1.9255803311769923</v>
      </c>
      <c r="H208">
        <v>0</v>
      </c>
      <c r="I208">
        <v>2</v>
      </c>
    </row>
    <row r="209" spans="5:9" x14ac:dyDescent="0.3">
      <c r="E209">
        <v>208</v>
      </c>
      <c r="F209">
        <v>2.0699999999999998</v>
      </c>
      <c r="G209">
        <v>1.8394012183037989</v>
      </c>
      <c r="H209">
        <v>0</v>
      </c>
      <c r="I209">
        <v>3</v>
      </c>
    </row>
    <row r="210" spans="5:9" x14ac:dyDescent="0.3">
      <c r="E210">
        <v>209</v>
      </c>
      <c r="F210">
        <v>2.0799999999999996</v>
      </c>
      <c r="G210">
        <v>1.7505038584756549</v>
      </c>
      <c r="H210">
        <v>0</v>
      </c>
      <c r="I210">
        <v>4</v>
      </c>
    </row>
    <row r="211" spans="5:9" x14ac:dyDescent="0.3">
      <c r="E211">
        <v>210</v>
      </c>
      <c r="F211">
        <v>2.0899999999999994</v>
      </c>
      <c r="G211">
        <v>1.6590607990329966</v>
      </c>
      <c r="H211">
        <v>0</v>
      </c>
      <c r="I211">
        <v>5</v>
      </c>
    </row>
    <row r="212" spans="5:9" x14ac:dyDescent="0.3">
      <c r="E212">
        <v>211</v>
      </c>
      <c r="F212">
        <v>2.0999999999999992</v>
      </c>
      <c r="G212">
        <v>1.5652480306187171</v>
      </c>
      <c r="H212">
        <v>0</v>
      </c>
      <c r="I212">
        <v>1</v>
      </c>
    </row>
    <row r="213" spans="5:9" x14ac:dyDescent="0.3">
      <c r="E213">
        <v>212</v>
      </c>
      <c r="F213">
        <v>2.109999999999999</v>
      </c>
      <c r="G213">
        <v>1.4692446571785038</v>
      </c>
      <c r="H213">
        <v>0</v>
      </c>
      <c r="I213">
        <v>2</v>
      </c>
    </row>
    <row r="214" spans="5:9" x14ac:dyDescent="0.3">
      <c r="E214">
        <v>213</v>
      </c>
      <c r="F214">
        <v>2.1199999999999988</v>
      </c>
      <c r="G214">
        <v>1.3712325624618709</v>
      </c>
      <c r="H214">
        <v>0</v>
      </c>
      <c r="I214">
        <v>3</v>
      </c>
    </row>
    <row r="215" spans="5:9" x14ac:dyDescent="0.3">
      <c r="E215">
        <v>214</v>
      </c>
      <c r="F215">
        <v>2.1299999999999986</v>
      </c>
      <c r="G215">
        <v>1.2713960736311474</v>
      </c>
      <c r="H215">
        <v>0</v>
      </c>
      <c r="I215">
        <v>4</v>
      </c>
    </row>
    <row r="216" spans="5:9" x14ac:dyDescent="0.3">
      <c r="E216">
        <v>215</v>
      </c>
      <c r="F216">
        <v>2.1399999999999983</v>
      </c>
      <c r="G216">
        <v>1.169921622587101</v>
      </c>
      <c r="H216">
        <v>0</v>
      </c>
      <c r="I216">
        <v>5</v>
      </c>
    </row>
    <row r="217" spans="5:9" x14ac:dyDescent="0.3">
      <c r="E217">
        <v>216</v>
      </c>
      <c r="F217">
        <v>2.1499999999999981</v>
      </c>
      <c r="G217">
        <v>1.066997405620276</v>
      </c>
      <c r="H217">
        <v>0</v>
      </c>
      <c r="I217">
        <v>1</v>
      </c>
    </row>
    <row r="218" spans="5:9" x14ac:dyDescent="0.3">
      <c r="E218">
        <v>217</v>
      </c>
      <c r="F218">
        <v>2.1599999999999979</v>
      </c>
      <c r="G218">
        <v>0.96281304199641138</v>
      </c>
      <c r="H218">
        <v>0</v>
      </c>
      <c r="I218">
        <v>2</v>
      </c>
    </row>
    <row r="219" spans="5:9" x14ac:dyDescent="0.3">
      <c r="E219">
        <v>218</v>
      </c>
      <c r="F219">
        <v>2.1699999999999977</v>
      </c>
      <c r="G219">
        <v>0.85755923208253548</v>
      </c>
      <c r="H219">
        <v>0</v>
      </c>
      <c r="I219">
        <v>3</v>
      </c>
    </row>
    <row r="220" spans="5:9" x14ac:dyDescent="0.3">
      <c r="E220">
        <v>219</v>
      </c>
      <c r="F220">
        <v>2.1799999999999975</v>
      </c>
      <c r="G220">
        <v>0.75142741561752902</v>
      </c>
      <c r="H220">
        <v>0</v>
      </c>
      <c r="I220">
        <v>4</v>
      </c>
    </row>
    <row r="221" spans="5:9" x14ac:dyDescent="0.3">
      <c r="E221">
        <v>220</v>
      </c>
      <c r="F221">
        <v>2.1899999999999973</v>
      </c>
      <c r="G221">
        <v>0.64460943072706678</v>
      </c>
      <c r="H221">
        <v>0</v>
      </c>
      <c r="I221">
        <v>5</v>
      </c>
    </row>
    <row r="222" spans="5:9" x14ac:dyDescent="0.3">
      <c r="E222">
        <v>221</v>
      </c>
      <c r="F222">
        <v>2.1999999999999971</v>
      </c>
      <c r="G222">
        <v>0.53729717427795376</v>
      </c>
      <c r="H222">
        <v>0</v>
      </c>
      <c r="I222">
        <v>1</v>
      </c>
    </row>
    <row r="223" spans="5:9" x14ac:dyDescent="0.3">
      <c r="E223">
        <v>222</v>
      </c>
      <c r="F223">
        <v>2.2099999999999969</v>
      </c>
      <c r="G223">
        <v>0.42968226416096894</v>
      </c>
      <c r="H223">
        <v>0</v>
      </c>
      <c r="I223">
        <v>2</v>
      </c>
    </row>
    <row r="224" spans="5:9" x14ac:dyDescent="0.3">
      <c r="E224">
        <v>223</v>
      </c>
      <c r="F224">
        <v>2.2199999999999966</v>
      </c>
      <c r="G224">
        <v>0.32195570408439661</v>
      </c>
      <c r="H224">
        <v>0</v>
      </c>
      <c r="I224">
        <v>3</v>
      </c>
    </row>
    <row r="225" spans="5:9" x14ac:dyDescent="0.3">
      <c r="E225">
        <v>224</v>
      </c>
      <c r="F225">
        <v>2.2299999999999964</v>
      </c>
      <c r="G225">
        <v>0.2143075514525449</v>
      </c>
      <c r="H225">
        <v>0</v>
      </c>
      <c r="I225">
        <v>4</v>
      </c>
    </row>
    <row r="226" spans="5:9" x14ac:dyDescent="0.3">
      <c r="E226">
        <v>225</v>
      </c>
      <c r="F226">
        <v>2.2399999999999962</v>
      </c>
      <c r="G226">
        <v>0.10692658889468942</v>
      </c>
      <c r="H226">
        <v>0</v>
      </c>
      <c r="I226">
        <v>5</v>
      </c>
    </row>
    <row r="227" spans="5:9" x14ac:dyDescent="0.3">
      <c r="E227">
        <v>226</v>
      </c>
      <c r="F227">
        <v>2.249999999999996</v>
      </c>
      <c r="G227">
        <v>4.1635645356205934E-14</v>
      </c>
      <c r="H227">
        <v>0</v>
      </c>
      <c r="I227">
        <v>1</v>
      </c>
    </row>
    <row r="228" spans="5:9" x14ac:dyDescent="0.3">
      <c r="E228">
        <v>227</v>
      </c>
      <c r="F228">
        <v>2.2599999999999958</v>
      </c>
      <c r="G228">
        <v>-0.10628695019623936</v>
      </c>
      <c r="H228">
        <v>0</v>
      </c>
      <c r="I228">
        <v>2</v>
      </c>
    </row>
    <row r="229" spans="5:9" x14ac:dyDescent="0.3">
      <c r="E229">
        <v>228</v>
      </c>
      <c r="F229">
        <v>2.2699999999999956</v>
      </c>
      <c r="G229">
        <v>-0.21175122944287991</v>
      </c>
      <c r="H229">
        <v>0</v>
      </c>
      <c r="I229">
        <v>3</v>
      </c>
    </row>
    <row r="230" spans="5:9" x14ac:dyDescent="0.3">
      <c r="E230">
        <v>229</v>
      </c>
      <c r="F230">
        <v>2.2799999999999954</v>
      </c>
      <c r="G230">
        <v>-0.31621234669708825</v>
      </c>
      <c r="H230">
        <v>0</v>
      </c>
      <c r="I230">
        <v>4</v>
      </c>
    </row>
    <row r="231" spans="5:9" x14ac:dyDescent="0.3">
      <c r="E231">
        <v>230</v>
      </c>
      <c r="F231">
        <v>2.2899999999999952</v>
      </c>
      <c r="G231">
        <v>-0.41949265423669624</v>
      </c>
      <c r="H231">
        <v>0</v>
      </c>
      <c r="I231">
        <v>5</v>
      </c>
    </row>
    <row r="232" spans="5:9" x14ac:dyDescent="0.3">
      <c r="E232">
        <v>231</v>
      </c>
      <c r="F232">
        <v>2.2999999999999949</v>
      </c>
      <c r="G232">
        <v>-0.5214176429661902</v>
      </c>
      <c r="H232">
        <v>0</v>
      </c>
      <c r="I232">
        <v>1</v>
      </c>
    </row>
    <row r="233" spans="5:9" x14ac:dyDescent="0.3">
      <c r="E233">
        <v>232</v>
      </c>
      <c r="F233">
        <v>2.3099999999999947</v>
      </c>
      <c r="G233">
        <v>-0.62181623043846779</v>
      </c>
      <c r="H233">
        <v>0</v>
      </c>
      <c r="I233">
        <v>2</v>
      </c>
    </row>
    <row r="234" spans="5:9" x14ac:dyDescent="0.3">
      <c r="E234">
        <v>233</v>
      </c>
      <c r="F234">
        <v>2.3199999999999945</v>
      </c>
      <c r="G234">
        <v>-0.72052104112924775</v>
      </c>
      <c r="H234">
        <v>0</v>
      </c>
      <c r="I234">
        <v>3</v>
      </c>
    </row>
    <row r="235" spans="5:9" x14ac:dyDescent="0.3">
      <c r="E235">
        <v>234</v>
      </c>
      <c r="F235">
        <v>2.3299999999999943</v>
      </c>
      <c r="G235">
        <v>-0.81736867851802375</v>
      </c>
      <c r="H235">
        <v>0</v>
      </c>
      <c r="I235">
        <v>4</v>
      </c>
    </row>
    <row r="236" spans="5:9" x14ac:dyDescent="0.3">
      <c r="E236">
        <v>235</v>
      </c>
      <c r="F236">
        <v>2.3399999999999941</v>
      </c>
      <c r="G236">
        <v>-0.91219998854598616</v>
      </c>
      <c r="H236">
        <v>0</v>
      </c>
      <c r="I236">
        <v>5</v>
      </c>
    </row>
    <row r="237" spans="5:9" x14ac:dyDescent="0.3">
      <c r="E237">
        <v>236</v>
      </c>
      <c r="F237">
        <v>2.3499999999999939</v>
      </c>
      <c r="G237">
        <v>-1.0048603140395063</v>
      </c>
      <c r="H237">
        <v>0</v>
      </c>
      <c r="I237">
        <v>1</v>
      </c>
    </row>
    <row r="238" spans="5:9" x14ac:dyDescent="0.3">
      <c r="E238">
        <v>237</v>
      </c>
      <c r="F238">
        <v>2.3599999999999937</v>
      </c>
      <c r="G238">
        <v>-1.0951997397058413</v>
      </c>
      <c r="H238">
        <v>0</v>
      </c>
      <c r="I238">
        <v>2</v>
      </c>
    </row>
    <row r="239" spans="5:9" x14ac:dyDescent="0.3">
      <c r="E239">
        <v>238</v>
      </c>
      <c r="F239">
        <v>2.3699999999999934</v>
      </c>
      <c r="G239">
        <v>-1.1830733273267688</v>
      </c>
      <c r="H239">
        <v>0</v>
      </c>
      <c r="I239">
        <v>3</v>
      </c>
    </row>
    <row r="240" spans="5:9" x14ac:dyDescent="0.3">
      <c r="E240">
        <v>239</v>
      </c>
      <c r="F240">
        <v>2.3799999999999932</v>
      </c>
      <c r="G240">
        <v>-1.2683413407953021</v>
      </c>
      <c r="H240">
        <v>0</v>
      </c>
      <c r="I240">
        <v>4</v>
      </c>
    </row>
    <row r="241" spans="5:9" x14ac:dyDescent="0.3">
      <c r="E241">
        <v>240</v>
      </c>
      <c r="F241">
        <v>2.389999999999993</v>
      </c>
      <c r="G241">
        <v>-1.3508694606606149</v>
      </c>
      <c r="H241">
        <v>0</v>
      </c>
      <c r="I241">
        <v>5</v>
      </c>
    </row>
    <row r="242" spans="5:9" x14ac:dyDescent="0.3">
      <c r="E242">
        <v>241</v>
      </c>
      <c r="F242">
        <v>2.3999999999999928</v>
      </c>
      <c r="G242">
        <v>-1.4305289878667546</v>
      </c>
      <c r="H242">
        <v>0</v>
      </c>
      <c r="I242">
        <v>1</v>
      </c>
    </row>
    <row r="243" spans="5:9" x14ac:dyDescent="0.3">
      <c r="E243">
        <v>242</v>
      </c>
      <c r="F243">
        <v>2.4099999999999926</v>
      </c>
      <c r="G243">
        <v>-1.5071970363916101</v>
      </c>
      <c r="H243">
        <v>0</v>
      </c>
      <c r="I243">
        <v>2</v>
      </c>
    </row>
    <row r="244" spans="5:9" x14ac:dyDescent="0.3">
      <c r="E244">
        <v>243</v>
      </c>
      <c r="F244">
        <v>2.4199999999999924</v>
      </c>
      <c r="G244">
        <v>-1.5807567145138504</v>
      </c>
      <c r="H244">
        <v>0</v>
      </c>
      <c r="I244">
        <v>3</v>
      </c>
    </row>
    <row r="245" spans="5:9" x14ac:dyDescent="0.3">
      <c r="E245">
        <v>244</v>
      </c>
      <c r="F245">
        <v>2.4299999999999922</v>
      </c>
      <c r="G245">
        <v>-1.6510972944571958</v>
      </c>
      <c r="H245">
        <v>0</v>
      </c>
      <c r="I245">
        <v>4</v>
      </c>
    </row>
    <row r="246" spans="5:9" x14ac:dyDescent="0.3">
      <c r="E246">
        <v>245</v>
      </c>
      <c r="F246">
        <v>2.439999999999992</v>
      </c>
      <c r="G246">
        <v>-1.7181143701833002</v>
      </c>
      <c r="H246">
        <v>0</v>
      </c>
      <c r="I246">
        <v>5</v>
      </c>
    </row>
    <row r="247" spans="5:9" x14ac:dyDescent="0.3">
      <c r="E247">
        <v>246</v>
      </c>
      <c r="F247">
        <v>2.4499999999999917</v>
      </c>
      <c r="G247">
        <v>-1.7817100031267261</v>
      </c>
      <c r="H247">
        <v>0</v>
      </c>
      <c r="I247">
        <v>1</v>
      </c>
    </row>
    <row r="248" spans="5:9" x14ac:dyDescent="0.3">
      <c r="E248">
        <v>247</v>
      </c>
      <c r="F248">
        <v>2.4599999999999915</v>
      </c>
      <c r="G248">
        <v>-1.8417928556879426</v>
      </c>
      <c r="H248">
        <v>0</v>
      </c>
      <c r="I248">
        <v>2</v>
      </c>
    </row>
    <row r="249" spans="5:9" x14ac:dyDescent="0.3">
      <c r="E249">
        <v>248</v>
      </c>
      <c r="F249">
        <v>2.4699999999999913</v>
      </c>
      <c r="G249">
        <v>-1.8982783123228786</v>
      </c>
      <c r="H249">
        <v>0</v>
      </c>
      <c r="I249">
        <v>3</v>
      </c>
    </row>
    <row r="250" spans="5:9" x14ac:dyDescent="0.3">
      <c r="E250">
        <v>249</v>
      </c>
      <c r="F250">
        <v>2.4799999999999911</v>
      </c>
      <c r="G250">
        <v>-1.9510885880903599</v>
      </c>
      <c r="H250">
        <v>0</v>
      </c>
      <c r="I250">
        <v>4</v>
      </c>
    </row>
    <row r="251" spans="5:9" x14ac:dyDescent="0.3">
      <c r="E251">
        <v>250</v>
      </c>
      <c r="F251">
        <v>2.4899999999999909</v>
      </c>
      <c r="G251">
        <v>-2.0001528245416087</v>
      </c>
      <c r="H251">
        <v>0</v>
      </c>
      <c r="I251">
        <v>5</v>
      </c>
    </row>
    <row r="252" spans="5:9" x14ac:dyDescent="0.3">
      <c r="E252">
        <v>251</v>
      </c>
      <c r="F252">
        <v>2.4999999999999907</v>
      </c>
      <c r="G252">
        <v>-2.0454071728589627</v>
      </c>
      <c r="H252">
        <v>0</v>
      </c>
      <c r="I252">
        <v>1</v>
      </c>
    </row>
    <row r="253" spans="5:9" x14ac:dyDescent="0.3">
      <c r="E253">
        <v>252</v>
      </c>
      <c r="F253">
        <v>2.5099999999999905</v>
      </c>
      <c r="G253">
        <v>-2.086794864173914</v>
      </c>
      <c r="H253">
        <v>0</v>
      </c>
      <c r="I253">
        <v>2</v>
      </c>
    </row>
    <row r="254" spans="5:9" x14ac:dyDescent="0.3">
      <c r="E254">
        <v>253</v>
      </c>
      <c r="F254">
        <v>2.5199999999999902</v>
      </c>
      <c r="G254">
        <v>-2.1242662670175547</v>
      </c>
      <c r="H254">
        <v>0.20875107510077309</v>
      </c>
      <c r="I254">
        <v>3</v>
      </c>
    </row>
    <row r="255" spans="5:9" x14ac:dyDescent="0.3">
      <c r="E255">
        <v>254</v>
      </c>
      <c r="F255">
        <v>2.52999999999999</v>
      </c>
      <c r="G255">
        <v>-2.1577789318793625</v>
      </c>
      <c r="H255">
        <v>0.41588639732806204</v>
      </c>
      <c r="I255">
        <v>4</v>
      </c>
    </row>
    <row r="256" spans="5:9" x14ac:dyDescent="0.3">
      <c r="E256">
        <v>255</v>
      </c>
      <c r="F256">
        <v>2.5399999999999898</v>
      </c>
      <c r="G256">
        <v>-2.1872976228731855</v>
      </c>
      <c r="H256">
        <v>0.62105147632199176</v>
      </c>
      <c r="I256">
        <v>5</v>
      </c>
    </row>
    <row r="257" spans="5:9" x14ac:dyDescent="0.3">
      <c r="E257">
        <v>256</v>
      </c>
      <c r="F257">
        <v>2.5499999999999896</v>
      </c>
      <c r="G257">
        <v>-2.2127943365317746</v>
      </c>
      <c r="H257">
        <v>0.82389740609808326</v>
      </c>
      <c r="I257">
        <v>1</v>
      </c>
    </row>
    <row r="258" spans="5:9" x14ac:dyDescent="0.3">
      <c r="E258">
        <v>257</v>
      </c>
      <c r="F258">
        <v>2.5599999999999894</v>
      </c>
      <c r="G258">
        <v>-2.2342483077739304</v>
      </c>
      <c r="H258">
        <v>1.0240814450381757</v>
      </c>
      <c r="I258">
        <v>2</v>
      </c>
    </row>
    <row r="259" spans="5:9" x14ac:dyDescent="0.3">
      <c r="E259">
        <v>258</v>
      </c>
      <c r="F259">
        <v>2.5699999999999892</v>
      </c>
      <c r="G259">
        <v>-2.2516460031104089</v>
      </c>
      <c r="H259">
        <v>1.2212675815745155</v>
      </c>
      <c r="I259">
        <v>3</v>
      </c>
    </row>
    <row r="260" spans="5:9" x14ac:dyDescent="0.3">
      <c r="E260">
        <v>259</v>
      </c>
      <c r="F260">
        <v>2.579999999999989</v>
      </c>
      <c r="G260">
        <v>-2.2649811011769461</v>
      </c>
      <c r="H260">
        <v>1.4151270846580788</v>
      </c>
      <c r="I260">
        <v>4</v>
      </c>
    </row>
    <row r="261" spans="5:9" x14ac:dyDescent="0.3">
      <c r="E261">
        <v>260</v>
      </c>
      <c r="F261">
        <v>2.5899999999999888</v>
      </c>
      <c r="G261">
        <v>-2.2742544607043884</v>
      </c>
      <c r="H261">
        <v>1.6053390381344068</v>
      </c>
      <c r="I261">
        <v>5</v>
      </c>
    </row>
    <row r="262" spans="5:9" x14ac:dyDescent="0.3">
      <c r="E262">
        <v>261</v>
      </c>
      <c r="F262">
        <v>2.5999999999999885</v>
      </c>
      <c r="G262">
        <v>-2.2794740760574017</v>
      </c>
      <c r="H262">
        <v>1.7915908581837463</v>
      </c>
      <c r="I262">
        <v>1</v>
      </c>
    </row>
    <row r="263" spans="5:9" x14ac:dyDescent="0.3">
      <c r="E263">
        <v>262</v>
      </c>
      <c r="F263">
        <v>2.6099999999999883</v>
      </c>
      <c r="G263">
        <v>-2.2806550204943039</v>
      </c>
      <c r="H263">
        <v>1.9735787930171198</v>
      </c>
      <c r="I263">
        <v>2</v>
      </c>
    </row>
    <row r="264" spans="5:9" x14ac:dyDescent="0.3">
      <c r="E264">
        <v>263</v>
      </c>
      <c r="F264">
        <v>2.6199999999999881</v>
      </c>
      <c r="G264">
        <v>-2.2778193773212099</v>
      </c>
      <c r="H264">
        <v>2.1510084040559789</v>
      </c>
      <c r="I264">
        <v>3</v>
      </c>
    </row>
    <row r="265" spans="5:9" x14ac:dyDescent="0.3">
      <c r="E265">
        <v>264</v>
      </c>
      <c r="F265">
        <v>2.6299999999999879</v>
      </c>
      <c r="G265">
        <v>-2.2709961591339454</v>
      </c>
      <c r="H265">
        <v>2.3235950278602573</v>
      </c>
      <c r="I265">
        <v>4</v>
      </c>
    </row>
    <row r="266" spans="5:9" x14ac:dyDescent="0.3">
      <c r="E266">
        <v>265</v>
      </c>
      <c r="F266">
        <v>2.6399999999999877</v>
      </c>
      <c r="G266">
        <v>-2.2602212153609686</v>
      </c>
      <c r="H266">
        <v>2.4910642181078968</v>
      </c>
      <c r="I266">
        <v>5</v>
      </c>
    </row>
    <row r="267" spans="5:9" x14ac:dyDescent="0.3">
      <c r="E267">
        <v>266</v>
      </c>
      <c r="F267">
        <v>2.6499999999999875</v>
      </c>
      <c r="G267">
        <v>-2.2455371283398304</v>
      </c>
      <c r="H267">
        <v>2.6531521669681624</v>
      </c>
      <c r="I267">
        <v>1</v>
      </c>
    </row>
    <row r="268" spans="5:9" x14ac:dyDescent="0.3">
      <c r="E268">
        <v>267</v>
      </c>
      <c r="F268">
        <v>2.6599999999999873</v>
      </c>
      <c r="G268">
        <v>-2.2269930981784603</v>
      </c>
      <c r="H268">
        <v>2.8096061052511883</v>
      </c>
      <c r="I268">
        <v>2</v>
      </c>
    </row>
    <row r="269" spans="5:9" x14ac:dyDescent="0.3">
      <c r="E269">
        <v>268</v>
      </c>
      <c r="F269">
        <v>2.6699999999999871</v>
      </c>
      <c r="G269">
        <v>-2.2046448166707959</v>
      </c>
      <c r="H269">
        <v>2.9601846807572589</v>
      </c>
      <c r="I269">
        <v>3</v>
      </c>
    </row>
    <row r="270" spans="5:9" x14ac:dyDescent="0.3">
      <c r="E270">
        <v>269</v>
      </c>
      <c r="F270">
        <v>2.6799999999999868</v>
      </c>
      <c r="G270">
        <v>-2.1785543305538977</v>
      </c>
      <c r="H270">
        <v>3.1046583142910649</v>
      </c>
      <c r="I270">
        <v>4</v>
      </c>
    </row>
    <row r="271" spans="5:9" x14ac:dyDescent="0.3">
      <c r="E271">
        <v>270</v>
      </c>
      <c r="F271">
        <v>2.6899999999999866</v>
      </c>
      <c r="G271">
        <v>-2.1487898944107093</v>
      </c>
      <c r="H271">
        <v>3.2428095328486362</v>
      </c>
      <c r="I271">
        <v>5</v>
      </c>
    </row>
    <row r="272" spans="5:9" x14ac:dyDescent="0.3">
      <c r="E272">
        <v>271</v>
      </c>
      <c r="F272">
        <v>2.6999999999999864</v>
      </c>
      <c r="G272">
        <v>-2.1154258135389936</v>
      </c>
      <c r="H272">
        <v>3.3744332795277709</v>
      </c>
      <c r="I272">
        <v>1</v>
      </c>
    </row>
    <row r="273" spans="5:9" x14ac:dyDescent="0.3">
      <c r="E273">
        <v>272</v>
      </c>
      <c r="F273">
        <v>2.7099999999999862</v>
      </c>
      <c r="G273">
        <v>-2.078542277122748</v>
      </c>
      <c r="H273">
        <v>3.4993371997563307</v>
      </c>
      <c r="I273">
        <v>2</v>
      </c>
    </row>
    <row r="274" spans="5:9" x14ac:dyDescent="0.3">
      <c r="E274">
        <v>273</v>
      </c>
      <c r="F274">
        <v>2.719999999999986</v>
      </c>
      <c r="G274">
        <v>-2.0382251820573685</v>
      </c>
      <c r="H274">
        <v>3.6173419034768903</v>
      </c>
      <c r="I274">
        <v>3</v>
      </c>
    </row>
    <row r="275" spans="5:9" x14ac:dyDescent="0.3">
      <c r="E275">
        <v>274</v>
      </c>
      <c r="F275">
        <v>2.7299999999999858</v>
      </c>
      <c r="G275">
        <v>-1.9945659477942073</v>
      </c>
      <c r="H275">
        <v>3.7282812029706172</v>
      </c>
      <c r="I275">
        <v>4</v>
      </c>
    </row>
    <row r="276" spans="5:9" x14ac:dyDescent="0.3">
      <c r="E276">
        <v>275</v>
      </c>
      <c r="F276">
        <v>2.7399999999999856</v>
      </c>
      <c r="G276">
        <v>-1.9476613225837887</v>
      </c>
      <c r="H276">
        <v>3.8320023260480069</v>
      </c>
      <c r="I276">
        <v>5</v>
      </c>
    </row>
    <row r="277" spans="5:9" x14ac:dyDescent="0.3">
      <c r="E277">
        <v>276</v>
      </c>
      <c r="F277">
        <v>2.7499999999999853</v>
      </c>
      <c r="G277">
        <v>-1.8976131815097164</v>
      </c>
      <c r="H277">
        <v>3.9283661043790357</v>
      </c>
      <c r="I277">
        <v>1</v>
      </c>
    </row>
    <row r="278" spans="5:9" x14ac:dyDescent="0.3">
      <c r="E278">
        <v>277</v>
      </c>
      <c r="F278">
        <v>2.7599999999999851</v>
      </c>
      <c r="G278">
        <v>-1.8445283167175084</v>
      </c>
      <c r="H278">
        <v>4.0172471367803393</v>
      </c>
      <c r="I278">
        <v>2</v>
      </c>
    </row>
    <row r="279" spans="5:9" x14ac:dyDescent="0.3">
      <c r="E279">
        <v>278</v>
      </c>
      <c r="F279">
        <v>2.7699999999999849</v>
      </c>
      <c r="G279">
        <v>-1.788518220253787</v>
      </c>
      <c r="H279">
        <v>4.0985339273221628</v>
      </c>
      <c r="I279">
        <v>3</v>
      </c>
    </row>
    <row r="280" spans="5:9" x14ac:dyDescent="0.3">
      <c r="E280">
        <v>279</v>
      </c>
      <c r="F280">
        <v>2.7799999999999847</v>
      </c>
      <c r="G280">
        <v>-1.7296988599418692</v>
      </c>
      <c r="H280">
        <v>4.172128998162913</v>
      </c>
      <c r="I280">
        <v>4</v>
      </c>
    </row>
    <row r="281" spans="5:9" x14ac:dyDescent="0.3">
      <c r="E281">
        <v>280</v>
      </c>
      <c r="F281">
        <v>2.7899999999999845</v>
      </c>
      <c r="G281">
        <v>-1.6681904487293659</v>
      </c>
      <c r="H281">
        <v>4.2379489770641268</v>
      </c>
      <c r="I281">
        <v>5</v>
      </c>
    </row>
    <row r="282" spans="5:9" x14ac:dyDescent="0.3">
      <c r="E282">
        <v>281</v>
      </c>
      <c r="F282">
        <v>2.7999999999999843</v>
      </c>
      <c r="G282">
        <v>-1.6041172079523947</v>
      </c>
      <c r="H282">
        <v>4.2959246595834495</v>
      </c>
      <c r="I282">
        <v>1</v>
      </c>
    </row>
    <row r="283" spans="5:9" x14ac:dyDescent="0.3">
      <c r="E283">
        <v>282</v>
      </c>
      <c r="F283">
        <v>2.8099999999999841</v>
      </c>
      <c r="G283">
        <v>-1.5376071249689873</v>
      </c>
      <c r="H283">
        <v>4.3460010459877747</v>
      </c>
      <c r="I283">
        <v>2</v>
      </c>
    </row>
    <row r="284" spans="5:9" x14ac:dyDescent="0.3">
      <c r="E284">
        <v>283</v>
      </c>
      <c r="F284">
        <v>2.8199999999999839</v>
      </c>
      <c r="G284">
        <v>-1.4687917056214512</v>
      </c>
      <c r="H284">
        <v>4.3881373529728682</v>
      </c>
      <c r="I284">
        <v>3</v>
      </c>
    </row>
    <row r="285" spans="5:9" x14ac:dyDescent="0.3">
      <c r="E285">
        <v>284</v>
      </c>
      <c r="F285">
        <v>2.8299999999999836</v>
      </c>
      <c r="G285">
        <v>-1.397805721993796</v>
      </c>
      <c r="H285">
        <v>4.422307000319579</v>
      </c>
      <c r="I285">
        <v>4</v>
      </c>
    </row>
    <row r="286" spans="5:9" x14ac:dyDescent="0.3">
      <c r="E286">
        <v>285</v>
      </c>
      <c r="F286">
        <v>2.8399999999999834</v>
      </c>
      <c r="G286">
        <v>-1.3247869559358587</v>
      </c>
      <c r="H286">
        <v>4.4484975726600444</v>
      </c>
      <c r="I286">
        <v>5</v>
      </c>
    </row>
    <row r="287" spans="5:9" x14ac:dyDescent="0.3">
      <c r="E287">
        <v>286</v>
      </c>
      <c r="F287">
        <v>2.8499999999999832</v>
      </c>
      <c r="G287">
        <v>-1.2498759388303391</v>
      </c>
      <c r="H287">
        <v>4.4667107565699551</v>
      </c>
      <c r="I287">
        <v>1</v>
      </c>
    </row>
    <row r="288" spans="5:9" x14ac:dyDescent="0.3">
      <c r="E288">
        <v>287</v>
      </c>
      <c r="F288">
        <v>2.859999999999983</v>
      </c>
      <c r="G288">
        <v>-1.1732156880827178</v>
      </c>
      <c r="H288">
        <v>4.4769622532451434</v>
      </c>
      <c r="I288">
        <v>2</v>
      </c>
    </row>
    <row r="289" spans="5:9" x14ac:dyDescent="0.3">
      <c r="E289">
        <v>288</v>
      </c>
      <c r="F289">
        <v>2.8699999999999828</v>
      </c>
      <c r="G289">
        <v>-1.0949514408169121</v>
      </c>
      <c r="H289">
        <v>4.4792816670619988</v>
      </c>
      <c r="I289">
        <v>3</v>
      </c>
    </row>
    <row r="290" spans="5:9" x14ac:dyDescent="0.3">
      <c r="E290">
        <v>289</v>
      </c>
      <c r="F290">
        <v>2.8799999999999826</v>
      </c>
      <c r="G290">
        <v>-1.015230385261592</v>
      </c>
      <c r="H290">
        <v>4.4737123703619481</v>
      </c>
      <c r="I290">
        <v>4</v>
      </c>
    </row>
    <row r="291" spans="5:9" x14ac:dyDescent="0.3">
      <c r="E291">
        <v>290</v>
      </c>
      <c r="F291">
        <v>2.8899999999999824</v>
      </c>
      <c r="G291">
        <v>-0.93420139031321525</v>
      </c>
      <c r="H291">
        <v>4.4603113448399139</v>
      </c>
      <c r="I291">
        <v>5</v>
      </c>
    </row>
    <row r="292" spans="5:9" x14ac:dyDescent="0.3">
      <c r="E292">
        <v>291</v>
      </c>
      <c r="F292">
        <v>2.8999999999999821</v>
      </c>
      <c r="G292">
        <v>-0.85201473376210157</v>
      </c>
      <c r="H292">
        <v>4.4391489999555569</v>
      </c>
      <c r="I292">
        <v>1</v>
      </c>
    </row>
    <row r="293" spans="5:9" x14ac:dyDescent="0.3">
      <c r="E293">
        <v>292</v>
      </c>
      <c r="F293">
        <v>2.9099999999999819</v>
      </c>
      <c r="G293">
        <v>-0.76882182966732271</v>
      </c>
      <c r="H293">
        <v>4.4103089688240207</v>
      </c>
      <c r="I293">
        <v>2</v>
      </c>
    </row>
    <row r="294" spans="5:9" x14ac:dyDescent="0.3">
      <c r="E294">
        <v>293</v>
      </c>
      <c r="F294">
        <v>2.9199999999999817</v>
      </c>
      <c r="G294">
        <v>-0.68477495536487754</v>
      </c>
      <c r="H294">
        <v>4.3738878820796989</v>
      </c>
      <c r="I294">
        <v>3</v>
      </c>
    </row>
    <row r="295" spans="5:9" x14ac:dyDescent="0.3">
      <c r="E295">
        <v>294</v>
      </c>
      <c r="F295">
        <v>2.9299999999999815</v>
      </c>
      <c r="G295">
        <v>-0.60002697859117404</v>
      </c>
      <c r="H295">
        <v>4.3299951202423781</v>
      </c>
      <c r="I295">
        <v>4</v>
      </c>
    </row>
    <row r="296" spans="5:9" x14ac:dyDescent="0.3">
      <c r="E296">
        <v>295</v>
      </c>
      <c r="F296">
        <v>2.9399999999999813</v>
      </c>
      <c r="G296">
        <v>-0.51473108520094979</v>
      </c>
      <c r="H296">
        <v>4.2787525451496977</v>
      </c>
      <c r="I296">
        <v>5</v>
      </c>
    </row>
    <row r="297" spans="5:9" x14ac:dyDescent="0.3">
      <c r="E297">
        <v>296</v>
      </c>
      <c r="F297">
        <v>2.9499999999999811</v>
      </c>
      <c r="G297">
        <v>-0.42904050795466814</v>
      </c>
      <c r="H297">
        <v>4.2202942110533144</v>
      </c>
      <c r="I297">
        <v>1</v>
      </c>
    </row>
    <row r="298" spans="5:9" x14ac:dyDescent="0.3">
      <c r="E298">
        <v>297</v>
      </c>
      <c r="F298">
        <v>2.9599999999999809</v>
      </c>
      <c r="G298">
        <v>-0.34310825684592361</v>
      </c>
      <c r="H298">
        <v>4.154766056008329</v>
      </c>
      <c r="I298">
        <v>2</v>
      </c>
    </row>
    <row r="299" spans="5:9" x14ac:dyDescent="0.3">
      <c r="E299">
        <v>298</v>
      </c>
      <c r="F299">
        <v>2.9699999999999807</v>
      </c>
      <c r="G299">
        <v>-0.25708685143362775</v>
      </c>
      <c r="H299">
        <v>4.0823255742164273</v>
      </c>
      <c r="I299">
        <v>3</v>
      </c>
    </row>
    <row r="300" spans="5:9" x14ac:dyDescent="0.3">
      <c r="E300">
        <v>299</v>
      </c>
      <c r="F300">
        <v>2.9799999999999804</v>
      </c>
      <c r="G300">
        <v>-0.17112805563760541</v>
      </c>
      <c r="H300">
        <v>4.0031414700126966</v>
      </c>
      <c r="I300">
        <v>4</v>
      </c>
    </row>
    <row r="301" spans="5:9" x14ac:dyDescent="0.3">
      <c r="E301">
        <v>300</v>
      </c>
      <c r="F301">
        <v>2.9899999999999802</v>
      </c>
      <c r="G301">
        <v>-8.5382615449160343E-2</v>
      </c>
      <c r="H301">
        <v>3.9173932942142473</v>
      </c>
      <c r="I301">
        <v>5</v>
      </c>
    </row>
    <row r="302" spans="5:9" x14ac:dyDescent="0.3">
      <c r="E302">
        <v>301</v>
      </c>
      <c r="F302">
        <v>2.99999999999998</v>
      </c>
      <c r="G302">
        <v>-1.7071622338750767E-13</v>
      </c>
      <c r="H302">
        <v>3.8252710635754656</v>
      </c>
      <c r="I302">
        <v>1</v>
      </c>
    </row>
    <row r="303" spans="5:9" x14ac:dyDescent="0.3">
      <c r="E303">
        <v>302</v>
      </c>
      <c r="F303">
        <v>3.0099999999999798</v>
      </c>
      <c r="G303">
        <v>8.4871853574030751E-2</v>
      </c>
      <c r="H303">
        <v>3.7269748641199874</v>
      </c>
      <c r="I303">
        <v>2</v>
      </c>
    </row>
    <row r="304" spans="5:9" x14ac:dyDescent="0.3">
      <c r="E304">
        <v>303</v>
      </c>
      <c r="F304">
        <v>3.0199999999999796</v>
      </c>
      <c r="G304">
        <v>0.16908679105224236</v>
      </c>
      <c r="H304">
        <v>3.6227144391431758</v>
      </c>
      <c r="I304">
        <v>3</v>
      </c>
    </row>
    <row r="305" spans="5:9" x14ac:dyDescent="0.3">
      <c r="E305">
        <v>304</v>
      </c>
      <c r="F305">
        <v>3.0299999999999794</v>
      </c>
      <c r="G305">
        <v>0.25250068740945769</v>
      </c>
      <c r="H305">
        <v>3.5127087627011675</v>
      </c>
      <c r="I305">
        <v>4</v>
      </c>
    </row>
    <row r="306" spans="5:9" x14ac:dyDescent="0.3">
      <c r="E306">
        <v>305</v>
      </c>
      <c r="F306">
        <v>3.0399999999999792</v>
      </c>
      <c r="G306">
        <v>0.33497168805828909</v>
      </c>
      <c r="H306">
        <v>3.3971855994230991</v>
      </c>
      <c r="I306">
        <v>5</v>
      </c>
    </row>
    <row r="307" spans="5:9" x14ac:dyDescent="0.3">
      <c r="E307">
        <v>306</v>
      </c>
      <c r="F307">
        <v>3.049999999999979</v>
      </c>
      <c r="G307">
        <v>0.4163604446556588</v>
      </c>
      <c r="H307">
        <v>3.2763810515022134</v>
      </c>
      <c r="I307">
        <v>1</v>
      </c>
    </row>
    <row r="308" spans="5:9" x14ac:dyDescent="0.3">
      <c r="E308">
        <v>307</v>
      </c>
      <c r="F308">
        <v>3.0599999999999787</v>
      </c>
      <c r="G308">
        <v>0.49653034509280625</v>
      </c>
      <c r="H308">
        <v>3.150539093738975</v>
      </c>
      <c r="I308">
        <v>2</v>
      </c>
    </row>
    <row r="309" spans="5:9" x14ac:dyDescent="0.3">
      <c r="E309">
        <v>308</v>
      </c>
      <c r="F309">
        <v>3.0699999999999785</v>
      </c>
      <c r="G309">
        <v>0.57534773729897382</v>
      </c>
      <c r="H309">
        <v>3.0199110975250671</v>
      </c>
      <c r="I309">
        <v>3</v>
      </c>
    </row>
    <row r="310" spans="5:9" x14ac:dyDescent="0.3">
      <c r="E310">
        <v>309</v>
      </c>
      <c r="F310">
        <v>3.0799999999999783</v>
      </c>
      <c r="G310">
        <v>0.6526821465024375</v>
      </c>
      <c r="H310">
        <v>2.8847553446713023</v>
      </c>
      <c r="I310">
        <v>4</v>
      </c>
    </row>
    <row r="311" spans="5:9" x14ac:dyDescent="0.3">
      <c r="E311">
        <v>310</v>
      </c>
      <c r="F311">
        <v>3.0899999999999781</v>
      </c>
      <c r="G311">
        <v>0.72840648560596699</v>
      </c>
      <c r="H311">
        <v>2.7453365319949166</v>
      </c>
      <c r="I311">
        <v>5</v>
      </c>
    </row>
    <row r="312" spans="5:9" x14ac:dyDescent="0.3">
      <c r="E312">
        <v>311</v>
      </c>
      <c r="F312">
        <v>3.0999999999999779</v>
      </c>
      <c r="G312">
        <v>0.80239725834807207</v>
      </c>
      <c r="H312">
        <v>2.60192526759249</v>
      </c>
      <c r="I312">
        <v>1</v>
      </c>
    </row>
    <row r="313" spans="5:9" x14ac:dyDescent="0.3">
      <c r="E313">
        <v>312</v>
      </c>
      <c r="F313">
        <v>3.1099999999999777</v>
      </c>
      <c r="G313">
        <v>0.87453475493605048</v>
      </c>
      <c r="H313">
        <v>2.4547975597338052</v>
      </c>
      <c r="I313">
        <v>2</v>
      </c>
    </row>
    <row r="314" spans="5:9" x14ac:dyDescent="0.3">
      <c r="E314">
        <v>313</v>
      </c>
      <c r="F314">
        <v>3.1199999999999775</v>
      </c>
      <c r="G314">
        <v>0.94470323985193461</v>
      </c>
      <c r="H314">
        <v>2.3042342993193512</v>
      </c>
      <c r="I314">
        <v>3</v>
      </c>
    </row>
    <row r="315" spans="5:9" x14ac:dyDescent="0.3">
      <c r="E315">
        <v>314</v>
      </c>
      <c r="F315">
        <v>3.1299999999999772</v>
      </c>
      <c r="G315">
        <v>1.012791131547955</v>
      </c>
      <c r="H315">
        <v>2.1505207368498356</v>
      </c>
      <c r="I315">
        <v>4</v>
      </c>
    </row>
    <row r="316" spans="5:9" x14ac:dyDescent="0.3">
      <c r="E316">
        <v>315</v>
      </c>
      <c r="F316">
        <v>3.139999999999977</v>
      </c>
      <c r="G316">
        <v>1.0786911737641314</v>
      </c>
      <c r="H316">
        <v>1.9939459548600549</v>
      </c>
      <c r="I316">
        <v>5</v>
      </c>
    </row>
    <row r="317" spans="5:9" x14ac:dyDescent="0.3">
      <c r="E317">
        <v>316</v>
      </c>
      <c r="F317">
        <v>3.1499999999999768</v>
      </c>
      <c r="G317">
        <v>1.1423005982169419</v>
      </c>
      <c r="H317">
        <v>1.8348023367717472</v>
      </c>
      <c r="I317">
        <v>1</v>
      </c>
    </row>
    <row r="318" spans="5:9" x14ac:dyDescent="0.3">
      <c r="E318">
        <v>317</v>
      </c>
      <c r="F318">
        <v>3.1599999999999766</v>
      </c>
      <c r="G318">
        <v>1.2035212784246707</v>
      </c>
      <c r="H318">
        <v>1.6733850331206386</v>
      </c>
      <c r="I318">
        <v>2</v>
      </c>
    </row>
    <row r="319" spans="5:9" x14ac:dyDescent="0.3">
      <c r="E319">
        <v>318</v>
      </c>
      <c r="F319">
        <v>3.1699999999999764</v>
      </c>
      <c r="G319">
        <v>1.2622598744520031</v>
      </c>
      <c r="H319">
        <v>1.5099914261117888</v>
      </c>
      <c r="I319">
        <v>3</v>
      </c>
    </row>
    <row r="320" spans="5:9" x14ac:dyDescent="0.3">
      <c r="E320">
        <v>319</v>
      </c>
      <c r="F320">
        <v>3.1799999999999762</v>
      </c>
      <c r="G320">
        <v>1.3184279683737115</v>
      </c>
      <c r="H320">
        <v>1.3449205934545887</v>
      </c>
      <c r="I320">
        <v>4</v>
      </c>
    </row>
    <row r="321" spans="5:9" x14ac:dyDescent="0.3">
      <c r="E321">
        <v>320</v>
      </c>
      <c r="F321">
        <v>3.189999999999976</v>
      </c>
      <c r="G321">
        <v>1.371942190274833</v>
      </c>
      <c r="H321">
        <v>1.1784727724243076</v>
      </c>
      <c r="I321">
        <v>5</v>
      </c>
    </row>
    <row r="322" spans="5:9" x14ac:dyDescent="0.3">
      <c r="E322">
        <v>321</v>
      </c>
      <c r="F322">
        <v>3.1999999999999758</v>
      </c>
      <c r="G322">
        <v>1.4227243346224314</v>
      </c>
      <c r="H322">
        <v>1.0109488250910885</v>
      </c>
      <c r="I322">
        <v>1</v>
      </c>
    </row>
    <row r="323" spans="5:9" x14ac:dyDescent="0.3">
      <c r="E323">
        <v>322</v>
      </c>
      <c r="F323">
        <v>3.2099999999999755</v>
      </c>
      <c r="G323">
        <v>1.4707014668618954</v>
      </c>
      <c r="H323">
        <v>0.84264970564949337</v>
      </c>
      <c r="I323">
        <v>2</v>
      </c>
    </row>
    <row r="324" spans="5:9" x14ac:dyDescent="0.3">
      <c r="E324">
        <v>323</v>
      </c>
      <c r="F324">
        <v>3.2199999999999753</v>
      </c>
      <c r="G324">
        <v>1.5158060201089285</v>
      </c>
      <c r="H324">
        <v>0.673875930772595</v>
      </c>
      <c r="I324">
        <v>3</v>
      </c>
    </row>
    <row r="325" spans="5:9" x14ac:dyDescent="0.3">
      <c r="E325">
        <v>324</v>
      </c>
      <c r="F325">
        <v>3.2299999999999751</v>
      </c>
      <c r="G325">
        <v>1.5579758818264202</v>
      </c>
      <c r="H325">
        <v>0.50492705390356241</v>
      </c>
      <c r="I325">
        <v>4</v>
      </c>
    </row>
    <row r="326" spans="5:9" x14ac:dyDescent="0.3">
      <c r="E326">
        <v>325</v>
      </c>
      <c r="F326">
        <v>3.2399999999999749</v>
      </c>
      <c r="G326">
        <v>1.5971544703937921</v>
      </c>
      <c r="H326">
        <v>0.33610114438552208</v>
      </c>
      <c r="I326">
        <v>5</v>
      </c>
    </row>
    <row r="327" spans="5:9" x14ac:dyDescent="0.3">
      <c r="E327">
        <v>326</v>
      </c>
      <c r="F327">
        <v>3.2499999999999747</v>
      </c>
      <c r="G327">
        <v>1.6332908014945908</v>
      </c>
      <c r="H327">
        <v>0.16769427231636155</v>
      </c>
      <c r="I327">
        <v>1</v>
      </c>
    </row>
    <row r="328" spans="5:9" x14ac:dyDescent="0.3">
      <c r="E328">
        <v>327</v>
      </c>
      <c r="F328">
        <v>3.2599999999999745</v>
      </c>
      <c r="G328">
        <v>1.6663395442665907</v>
      </c>
      <c r="H328">
        <v>-6.603098277009967E-15</v>
      </c>
      <c r="I328">
        <v>2</v>
      </c>
    </row>
    <row r="329" spans="5:9" x14ac:dyDescent="0.3">
      <c r="E329">
        <v>328</v>
      </c>
      <c r="F329">
        <v>3.2699999999999743</v>
      </c>
      <c r="G329">
        <v>1.6962610671769092</v>
      </c>
      <c r="H329">
        <v>-0.16669111915143262</v>
      </c>
      <c r="I329">
        <v>3</v>
      </c>
    </row>
    <row r="330" spans="5:9" x14ac:dyDescent="0.3">
      <c r="E330">
        <v>329</v>
      </c>
      <c r="F330">
        <v>3.279999999999974</v>
      </c>
      <c r="G330">
        <v>1.7230214736029168</v>
      </c>
      <c r="H330">
        <v>-0.33209203342787097</v>
      </c>
      <c r="I330">
        <v>4</v>
      </c>
    </row>
    <row r="331" spans="5:9" x14ac:dyDescent="0.3">
      <c r="E331">
        <v>330</v>
      </c>
      <c r="F331">
        <v>3.2899999999999738</v>
      </c>
      <c r="G331">
        <v>1.7465926271180348</v>
      </c>
      <c r="H331">
        <v>-0.49591967652757463</v>
      </c>
      <c r="I331">
        <v>5</v>
      </c>
    </row>
    <row r="332" spans="5:9" x14ac:dyDescent="0.3">
      <c r="E332">
        <v>331</v>
      </c>
      <c r="F332">
        <v>3.2999999999999736</v>
      </c>
      <c r="G332">
        <v>1.7669521664994867</v>
      </c>
      <c r="H332">
        <v>-0.65789544136310751</v>
      </c>
      <c r="I332">
        <v>1</v>
      </c>
    </row>
    <row r="333" spans="5:9" x14ac:dyDescent="0.3">
      <c r="E333">
        <v>332</v>
      </c>
      <c r="F333">
        <v>3.3099999999999734</v>
      </c>
      <c r="G333">
        <v>1.7840835104931505</v>
      </c>
      <c r="H333">
        <v>-0.81774564319352872</v>
      </c>
      <c r="I333">
        <v>2</v>
      </c>
    </row>
    <row r="334" spans="5:9" x14ac:dyDescent="0.3">
      <c r="E334">
        <v>333</v>
      </c>
      <c r="F334">
        <v>3.3199999999999732</v>
      </c>
      <c r="G334">
        <v>1.7979758523883684</v>
      </c>
      <c r="H334">
        <v>-0.97520197133229869</v>
      </c>
      <c r="I334">
        <v>3</v>
      </c>
    </row>
    <row r="335" spans="5:9" x14ac:dyDescent="0.3">
      <c r="E335">
        <v>334</v>
      </c>
      <c r="F335">
        <v>3.329999999999973</v>
      </c>
      <c r="G335">
        <v>1.8086241444732509</v>
      </c>
      <c r="H335">
        <v>-1.1300019287051557</v>
      </c>
      <c r="I335">
        <v>4</v>
      </c>
    </row>
    <row r="336" spans="5:9" x14ac:dyDescent="0.3">
      <c r="E336">
        <v>335</v>
      </c>
      <c r="F336">
        <v>3.3399999999999728</v>
      </c>
      <c r="G336">
        <v>1.816029072458305</v>
      </c>
      <c r="H336">
        <v>-1.2818892585579096</v>
      </c>
      <c r="I336">
        <v>5</v>
      </c>
    </row>
    <row r="337" spans="5:9" x14ac:dyDescent="0.3">
      <c r="E337">
        <v>336</v>
      </c>
      <c r="F337">
        <v>3.3499999999999726</v>
      </c>
      <c r="G337">
        <v>1.8201970199733768</v>
      </c>
      <c r="H337">
        <v>-1.4306143576407584</v>
      </c>
      <c r="I337">
        <v>1</v>
      </c>
    </row>
    <row r="338" spans="5:9" x14ac:dyDescent="0.3">
      <c r="E338">
        <v>337</v>
      </c>
      <c r="F338">
        <v>3.3599999999999723</v>
      </c>
      <c r="G338">
        <v>1.8211400232597026</v>
      </c>
      <c r="H338">
        <v>-1.5759346752237338</v>
      </c>
      <c r="I338">
        <v>2</v>
      </c>
    </row>
    <row r="339" spans="5:9" x14ac:dyDescent="0.3">
      <c r="E339">
        <v>338</v>
      </c>
      <c r="F339">
        <v>3.3699999999999721</v>
      </c>
      <c r="G339">
        <v>1.8188757161953775</v>
      </c>
      <c r="H339">
        <v>-1.717615097326429</v>
      </c>
      <c r="I339">
        <v>3</v>
      </c>
    </row>
    <row r="340" spans="5:9" x14ac:dyDescent="0.3">
      <c r="E340">
        <v>339</v>
      </c>
      <c r="F340">
        <v>3.3799999999999719</v>
      </c>
      <c r="G340">
        <v>1.8134272658087174</v>
      </c>
      <c r="H340">
        <v>-1.8554283155750695</v>
      </c>
      <c r="I340">
        <v>4</v>
      </c>
    </row>
    <row r="341" spans="5:9" x14ac:dyDescent="0.3">
      <c r="E341">
        <v>340</v>
      </c>
      <c r="F341">
        <v>3.3899999999999717</v>
      </c>
      <c r="G341">
        <v>1.8048232984497805</v>
      </c>
      <c r="H341">
        <v>-1.9891551801303085</v>
      </c>
      <c r="I341">
        <v>5</v>
      </c>
    </row>
    <row r="342" spans="5:9" x14ac:dyDescent="0.3">
      <c r="E342">
        <v>341</v>
      </c>
      <c r="F342">
        <v>3.3999999999999715</v>
      </c>
      <c r="G342">
        <v>1.7930978168057328</v>
      </c>
      <c r="H342">
        <v>-2.1185850361606722</v>
      </c>
      <c r="I342">
        <v>1</v>
      </c>
    </row>
    <row r="343" spans="5:9" x14ac:dyDescent="0.3">
      <c r="E343">
        <v>342</v>
      </c>
      <c r="F343">
        <v>3.4099999999999713</v>
      </c>
      <c r="G343">
        <v>1.7782901079607205</v>
      </c>
      <c r="H343">
        <v>-2.2435160433684449</v>
      </c>
      <c r="I343">
        <v>2</v>
      </c>
    </row>
    <row r="344" spans="5:9" x14ac:dyDescent="0.3">
      <c r="E344">
        <v>343</v>
      </c>
      <c r="F344">
        <v>3.4199999999999711</v>
      </c>
      <c r="G344">
        <v>1.760444642715455</v>
      </c>
      <c r="H344">
        <v>-2.3637554781077275</v>
      </c>
      <c r="I344">
        <v>3</v>
      </c>
    </row>
    <row r="345" spans="5:9" x14ac:dyDescent="0.3">
      <c r="E345">
        <v>344</v>
      </c>
      <c r="F345">
        <v>3.4299999999999708</v>
      </c>
      <c r="G345">
        <v>1.7396109663958004</v>
      </c>
      <c r="H345">
        <v>-2.4791200176675674</v>
      </c>
      <c r="I345">
        <v>4</v>
      </c>
    </row>
    <row r="346" spans="5:9" x14ac:dyDescent="0.3">
      <c r="E346">
        <v>345</v>
      </c>
      <c r="F346">
        <v>3.4399999999999706</v>
      </c>
      <c r="G346">
        <v>1.7158435813932411</v>
      </c>
      <c r="H346">
        <v>-2.5894360063271602</v>
      </c>
      <c r="I346">
        <v>5</v>
      </c>
    </row>
    <row r="347" spans="5:9" x14ac:dyDescent="0.3">
      <c r="E347">
        <v>346</v>
      </c>
      <c r="F347">
        <v>3.4499999999999704</v>
      </c>
      <c r="G347">
        <v>1.6892018216931814</v>
      </c>
      <c r="H347">
        <v>-2.6945397028243248</v>
      </c>
      <c r="I347">
        <v>1</v>
      </c>
    </row>
    <row r="348" spans="5:9" x14ac:dyDescent="0.3">
      <c r="E348">
        <v>347</v>
      </c>
      <c r="F348">
        <v>3.4599999999999702</v>
      </c>
      <c r="G348">
        <v>1.659749719659612</v>
      </c>
      <c r="H348">
        <v>-2.7942775089134573</v>
      </c>
      <c r="I348">
        <v>2</v>
      </c>
    </row>
    <row r="349" spans="5:9" x14ac:dyDescent="0.3">
      <c r="E349">
        <v>348</v>
      </c>
      <c r="F349">
        <v>3.46999999999997</v>
      </c>
      <c r="G349">
        <v>1.6275558653566446</v>
      </c>
      <c r="H349">
        <v>-2.8885061787242199</v>
      </c>
      <c r="I349">
        <v>3</v>
      </c>
    </row>
    <row r="350" spans="5:9" x14ac:dyDescent="0.3">
      <c r="E350">
        <v>349</v>
      </c>
      <c r="F350">
        <v>3.4799999999999698</v>
      </c>
      <c r="G350">
        <v>1.592693258698902</v>
      </c>
      <c r="H350">
        <v>-2.9770930086677616</v>
      </c>
      <c r="I350">
        <v>4</v>
      </c>
    </row>
    <row r="351" spans="5:9" x14ac:dyDescent="0.3">
      <c r="E351">
        <v>350</v>
      </c>
      <c r="F351">
        <v>3.4899999999999696</v>
      </c>
      <c r="G351">
        <v>1.5552391547335567</v>
      </c>
      <c r="H351">
        <v>-3.0599160076729963</v>
      </c>
      <c r="I351">
        <v>5</v>
      </c>
    </row>
    <row r="352" spans="5:9" x14ac:dyDescent="0.3">
      <c r="E352">
        <v>351</v>
      </c>
      <c r="F352">
        <v>3.4999999999999694</v>
      </c>
      <c r="G352">
        <v>1.5152749023671566</v>
      </c>
      <c r="H352">
        <v>-3.136864047571255</v>
      </c>
      <c r="I352">
        <v>1</v>
      </c>
    </row>
    <row r="353" spans="5:9" x14ac:dyDescent="0.3">
      <c r="E353">
        <v>352</v>
      </c>
      <c r="F353">
        <v>3.5099999999999691</v>
      </c>
      <c r="G353">
        <v>1.4728857768599306</v>
      </c>
      <c r="H353">
        <v>-3.2078369934837756</v>
      </c>
      <c r="I353">
        <v>2</v>
      </c>
    </row>
    <row r="354" spans="5:9" x14ac:dyDescent="0.3">
      <c r="E354">
        <v>353</v>
      </c>
      <c r="F354">
        <v>3.5199999999999689</v>
      </c>
      <c r="G354">
        <v>1.4281608064193785</v>
      </c>
      <c r="H354">
        <v>-3.2727458141023158</v>
      </c>
      <c r="I354">
        <v>3</v>
      </c>
    </row>
    <row r="355" spans="5:9" x14ac:dyDescent="0.3">
      <c r="E355">
        <v>354</v>
      </c>
      <c r="F355">
        <v>3.5299999999999687</v>
      </c>
      <c r="G355">
        <v>1.3811925932332643</v>
      </c>
      <c r="H355">
        <v>-3.3315126717894019</v>
      </c>
      <c r="I355">
        <v>4</v>
      </c>
    </row>
    <row r="356" spans="5:9" x14ac:dyDescent="0.3">
      <c r="E356">
        <v>355</v>
      </c>
      <c r="F356">
        <v>3.5399999999999685</v>
      </c>
      <c r="G356">
        <v>1.3320771292899607</v>
      </c>
      <c r="H356">
        <v>-3.3840709924604191</v>
      </c>
      <c r="I356">
        <v>5</v>
      </c>
    </row>
    <row r="357" spans="5:9" x14ac:dyDescent="0.3">
      <c r="E357">
        <v>356</v>
      </c>
      <c r="F357">
        <v>3.5499999999999683</v>
      </c>
      <c r="G357">
        <v>1.2809136073410796</v>
      </c>
      <c r="H357">
        <v>-3.4303655152457435</v>
      </c>
      <c r="I357">
        <v>1</v>
      </c>
    </row>
    <row r="358" spans="5:9" x14ac:dyDescent="0.3">
      <c r="E358">
        <v>357</v>
      </c>
      <c r="F358">
        <v>3.5599999999999681</v>
      </c>
      <c r="G358">
        <v>1.2278042273678</v>
      </c>
      <c r="H358">
        <v>-3.4703523219664563</v>
      </c>
      <c r="I358">
        <v>2</v>
      </c>
    </row>
    <row r="359" spans="5:9" x14ac:dyDescent="0.3">
      <c r="E359">
        <v>358</v>
      </c>
      <c r="F359">
        <v>3.5699999999999679</v>
      </c>
      <c r="G359">
        <v>1.1728539989180671</v>
      </c>
      <c r="H359">
        <v>-3.503998846492677</v>
      </c>
      <c r="I359">
        <v>3</v>
      </c>
    </row>
    <row r="360" spans="5:9" x14ac:dyDescent="0.3">
      <c r="E360">
        <v>359</v>
      </c>
      <c r="F360">
        <v>3.5799999999999677</v>
      </c>
      <c r="G360">
        <v>1.1161705396867976</v>
      </c>
      <c r="H360">
        <v>-3.5312838640883153</v>
      </c>
      <c r="I360">
        <v>4</v>
      </c>
    </row>
    <row r="361" spans="5:9" x14ac:dyDescent="0.3">
      <c r="E361">
        <v>360</v>
      </c>
      <c r="F361">
        <v>3.5899999999999674</v>
      </c>
      <c r="G361">
        <v>1.0578638707157426</v>
      </c>
      <c r="H361">
        <v>-3.5521974608807665</v>
      </c>
      <c r="I361">
        <v>5</v>
      </c>
    </row>
    <row r="362" spans="5:9" x14ac:dyDescent="0.3">
      <c r="E362">
        <v>361</v>
      </c>
      <c r="F362">
        <v>3.5999999999999672</v>
      </c>
      <c r="G362">
        <v>0.99804620859322657</v>
      </c>
      <c r="H362">
        <v>-3.5667409836280775</v>
      </c>
      <c r="I362">
        <v>1</v>
      </c>
    </row>
    <row r="363" spans="5:9" x14ac:dyDescent="0.3">
      <c r="E363">
        <v>362</v>
      </c>
      <c r="F363">
        <v>3.609999999999967</v>
      </c>
      <c r="G363">
        <v>0.93683175503709271</v>
      </c>
      <c r="H363">
        <v>-3.5749269699897726</v>
      </c>
      <c r="I363">
        <v>2</v>
      </c>
    </row>
    <row r="364" spans="5:9" x14ac:dyDescent="0.3">
      <c r="E364">
        <v>363</v>
      </c>
      <c r="F364">
        <v>3.6199999999999668</v>
      </c>
      <c r="G364">
        <v>0.87433648424635435</v>
      </c>
      <c r="H364">
        <v>-3.5767790595405464</v>
      </c>
      <c r="I364">
        <v>3</v>
      </c>
    </row>
    <row r="365" spans="5:9" x14ac:dyDescent="0.3">
      <c r="E365">
        <v>364</v>
      </c>
      <c r="F365">
        <v>3.6299999999999666</v>
      </c>
      <c r="G365">
        <v>0.8106779284088157</v>
      </c>
      <c r="H365">
        <v>-3.5723318857984725</v>
      </c>
      <c r="I365">
        <v>4</v>
      </c>
    </row>
    <row r="366" spans="5:9" x14ac:dyDescent="0.3">
      <c r="E366">
        <v>365</v>
      </c>
      <c r="F366">
        <v>3.6399999999999664</v>
      </c>
      <c r="G366">
        <v>0.74597496175276667</v>
      </c>
      <c r="H366">
        <v>-3.5616309495711183</v>
      </c>
      <c r="I366">
        <v>5</v>
      </c>
    </row>
    <row r="367" spans="5:9" x14ac:dyDescent="0.3">
      <c r="E367">
        <v>366</v>
      </c>
      <c r="F367">
        <v>3.6499999999999662</v>
      </c>
      <c r="G367">
        <v>0.68034758353109481</v>
      </c>
      <c r="H367">
        <v>-3.5447324739539794</v>
      </c>
      <c r="I367">
        <v>1</v>
      </c>
    </row>
    <row r="368" spans="5:9" x14ac:dyDescent="0.3">
      <c r="E368">
        <v>367</v>
      </c>
      <c r="F368">
        <v>3.6599999999999659</v>
      </c>
      <c r="G368">
        <v>0.61391670032572443</v>
      </c>
      <c r="H368">
        <v>-3.5217032413459228</v>
      </c>
      <c r="I368">
        <v>2</v>
      </c>
    </row>
    <row r="369" spans="5:9" x14ac:dyDescent="0.3">
      <c r="E369">
        <v>368</v>
      </c>
      <c r="F369">
        <v>3.6699999999999657</v>
      </c>
      <c r="G369">
        <v>0.54680390805919199</v>
      </c>
      <c r="H369">
        <v>-3.4926204128757399</v>
      </c>
      <c r="I369">
        <v>3</v>
      </c>
    </row>
    <row r="370" spans="5:9" x14ac:dyDescent="0.3">
      <c r="E370">
        <v>369</v>
      </c>
      <c r="F370">
        <v>3.6799999999999655</v>
      </c>
      <c r="G370">
        <v>0.47913127409834749</v>
      </c>
      <c r="H370">
        <v>-3.4575713306624958</v>
      </c>
      <c r="I370">
        <v>4</v>
      </c>
    </row>
    <row r="371" spans="5:9" x14ac:dyDescent="0.3">
      <c r="E371">
        <v>370</v>
      </c>
      <c r="F371">
        <v>3.6899999999999653</v>
      </c>
      <c r="G371">
        <v>0.41102111983268058</v>
      </c>
      <c r="H371">
        <v>-3.4166533033599955</v>
      </c>
      <c r="I371">
        <v>5</v>
      </c>
    </row>
    <row r="372" spans="5:9" x14ac:dyDescent="0.3">
      <c r="E372">
        <v>371</v>
      </c>
      <c r="F372">
        <v>3.6999999999999651</v>
      </c>
      <c r="G372">
        <v>0.34259580410667473</v>
      </c>
      <c r="H372">
        <v>-3.3699733754623775</v>
      </c>
      <c r="I372">
        <v>1</v>
      </c>
    </row>
    <row r="373" spans="5:9" x14ac:dyDescent="0.3">
      <c r="E373">
        <v>372</v>
      </c>
      <c r="F373">
        <v>3.7099999999999649</v>
      </c>
      <c r="G373">
        <v>0.27397750788183889</v>
      </c>
      <c r="H373">
        <v>-3.3176480808735778</v>
      </c>
      <c r="I373">
        <v>2</v>
      </c>
    </row>
    <row r="374" spans="5:9" x14ac:dyDescent="0.3">
      <c r="E374">
        <v>373</v>
      </c>
      <c r="F374">
        <v>3.7199999999999647</v>
      </c>
      <c r="G374">
        <v>0.20528802049963921</v>
      </c>
      <c r="H374">
        <v>-3.2598031812680008</v>
      </c>
      <c r="I374">
        <v>3</v>
      </c>
    </row>
    <row r="375" spans="5:9" x14ac:dyDescent="0.3">
      <c r="E375">
        <v>374</v>
      </c>
      <c r="F375">
        <v>3.7299999999999645</v>
      </c>
      <c r="G375">
        <v>0.13664852791149568</v>
      </c>
      <c r="H375">
        <v>-3.1965733897933886</v>
      </c>
      <c r="I375">
        <v>4</v>
      </c>
    </row>
    <row r="376" spans="5:9" x14ac:dyDescent="0.3">
      <c r="E376">
        <v>375</v>
      </c>
      <c r="F376">
        <v>3.7399999999999642</v>
      </c>
      <c r="G376">
        <v>6.817940323635982E-2</v>
      </c>
      <c r="H376">
        <v>-3.1281020806892958</v>
      </c>
      <c r="I376">
        <v>5</v>
      </c>
    </row>
    <row r="377" spans="5:9" x14ac:dyDescent="0.3">
      <c r="E377">
        <v>376</v>
      </c>
      <c r="F377">
        <v>3.749999999999964</v>
      </c>
      <c r="G377">
        <v>2.4609128677049127E-13</v>
      </c>
      <c r="H377">
        <v>-3.0545409854159375</v>
      </c>
      <c r="I377">
        <v>1</v>
      </c>
    </row>
    <row r="378" spans="5:9" x14ac:dyDescent="0.3">
      <c r="E378">
        <v>377</v>
      </c>
      <c r="F378">
        <v>3.7599999999999638</v>
      </c>
      <c r="G378">
        <v>-6.7771551594931284E-2</v>
      </c>
      <c r="H378">
        <v>-2.9760498759083296</v>
      </c>
      <c r="I378">
        <v>2</v>
      </c>
    </row>
    <row r="379" spans="5:9" x14ac:dyDescent="0.3">
      <c r="E379">
        <v>378</v>
      </c>
      <c r="F379">
        <v>3.7699999999999636</v>
      </c>
      <c r="G379">
        <v>-0.13501854503308539</v>
      </c>
      <c r="H379">
        <v>-2.8927962355895995</v>
      </c>
      <c r="I379">
        <v>3</v>
      </c>
    </row>
    <row r="380" spans="5:9" x14ac:dyDescent="0.3">
      <c r="E380">
        <v>379</v>
      </c>
      <c r="F380">
        <v>3.7799999999999634</v>
      </c>
      <c r="G380">
        <v>-0.20162589414423662</v>
      </c>
      <c r="H380">
        <v>-2.8049549187950595</v>
      </c>
      <c r="I380">
        <v>4</v>
      </c>
    </row>
    <row r="381" spans="5:9" x14ac:dyDescent="0.3">
      <c r="E381">
        <v>380</v>
      </c>
      <c r="F381">
        <v>3.7899999999999632</v>
      </c>
      <c r="G381">
        <v>-0.26748032573964492</v>
      </c>
      <c r="H381">
        <v>-2.7127077992751336</v>
      </c>
      <c r="I381">
        <v>5</v>
      </c>
    </row>
    <row r="382" spans="5:9" x14ac:dyDescent="0.3">
      <c r="E382">
        <v>381</v>
      </c>
      <c r="F382">
        <v>3.799999999999963</v>
      </c>
      <c r="G382">
        <v>-0.33247056790730534</v>
      </c>
      <c r="H382">
        <v>-2.6162434084604125</v>
      </c>
      <c r="I382">
        <v>1</v>
      </c>
    </row>
    <row r="383" spans="5:9" x14ac:dyDescent="0.3">
      <c r="E383">
        <v>382</v>
      </c>
      <c r="F383">
        <v>3.8099999999999627</v>
      </c>
      <c r="G383">
        <v>-0.39648753366269385</v>
      </c>
      <c r="H383">
        <v>-2.5157565641860358</v>
      </c>
      <c r="I383">
        <v>2</v>
      </c>
    </row>
    <row r="384" spans="5:9" x14ac:dyDescent="0.3">
      <c r="E384">
        <v>383</v>
      </c>
      <c r="F384">
        <v>3.8199999999999625</v>
      </c>
      <c r="G384">
        <v>-0.45942449965963916</v>
      </c>
      <c r="H384">
        <v>-2.4114479905851889</v>
      </c>
      <c r="I384">
        <v>3</v>
      </c>
    </row>
    <row r="385" spans="5:9" x14ac:dyDescent="0.3">
      <c r="E385">
        <v>384</v>
      </c>
      <c r="F385">
        <v>3.8299999999999623</v>
      </c>
      <c r="G385">
        <v>-0.52117727967678673</v>
      </c>
      <c r="H385">
        <v>-2.3035239298728238</v>
      </c>
      <c r="I385">
        <v>4</v>
      </c>
    </row>
    <row r="386" spans="5:9" x14ac:dyDescent="0.3">
      <c r="E386">
        <v>385</v>
      </c>
      <c r="F386">
        <v>3.8399999999999621</v>
      </c>
      <c r="G386">
        <v>-0.58164439260578937</v>
      </c>
      <c r="H386">
        <v>-2.1921957467505546</v>
      </c>
      <c r="I386">
        <v>5</v>
      </c>
    </row>
    <row r="387" spans="5:9" x14ac:dyDescent="0.3">
      <c r="E387">
        <v>386</v>
      </c>
      <c r="F387">
        <v>3.8499999999999619</v>
      </c>
      <c r="G387">
        <v>-0.64072722467889665</v>
      </c>
      <c r="H387">
        <v>-2.077679526172429</v>
      </c>
      <c r="I387">
        <v>1</v>
      </c>
    </row>
    <row r="388" spans="5:9" x14ac:dyDescent="0.3">
      <c r="E388">
        <v>387</v>
      </c>
      <c r="F388">
        <v>3.8599999999999617</v>
      </c>
      <c r="G388">
        <v>-0.69833018568510175</v>
      </c>
      <c r="H388">
        <v>-1.9601956652183778</v>
      </c>
      <c r="I388">
        <v>2</v>
      </c>
    </row>
    <row r="389" spans="5:9" x14ac:dyDescent="0.3">
      <c r="E389">
        <v>388</v>
      </c>
      <c r="F389">
        <v>3.8699999999999615</v>
      </c>
      <c r="G389">
        <v>-0.75436085893621529</v>
      </c>
      <c r="H389">
        <v>-1.8399684598281425</v>
      </c>
      <c r="I389">
        <v>3</v>
      </c>
    </row>
    <row r="390" spans="5:9" x14ac:dyDescent="0.3">
      <c r="E390">
        <v>389</v>
      </c>
      <c r="F390">
        <v>3.8799999999999613</v>
      </c>
      <c r="G390">
        <v>-0.80873014475661975</v>
      </c>
      <c r="H390">
        <v>-1.7172256871529514</v>
      </c>
      <c r="I390">
        <v>4</v>
      </c>
    </row>
    <row r="391" spans="5:9" x14ac:dyDescent="0.3">
      <c r="E391">
        <v>390</v>
      </c>
      <c r="F391">
        <v>3.889999999999961</v>
      </c>
      <c r="G391">
        <v>-0.8613523972831626</v>
      </c>
      <c r="H391">
        <v>-1.5921981842854003</v>
      </c>
      <c r="I391">
        <v>5</v>
      </c>
    </row>
    <row r="392" spans="5:9" x14ac:dyDescent="0.3">
      <c r="E392">
        <v>391</v>
      </c>
      <c r="F392">
        <v>3.8999999999999608</v>
      </c>
      <c r="G392">
        <v>-0.91214555437468636</v>
      </c>
      <c r="H392">
        <v>-1.4651194241298382</v>
      </c>
      <c r="I392">
        <v>1</v>
      </c>
    </row>
    <row r="393" spans="5:9" x14ac:dyDescent="0.3">
      <c r="E393">
        <v>392</v>
      </c>
      <c r="F393">
        <v>3.9099999999999606</v>
      </c>
      <c r="G393">
        <v>-0.9610312604440423</v>
      </c>
      <c r="H393">
        <v>-1.3362250891760179</v>
      </c>
      <c r="I393">
        <v>2</v>
      </c>
    </row>
    <row r="394" spans="5:9" x14ac:dyDescent="0.3">
      <c r="E394">
        <v>393</v>
      </c>
      <c r="F394">
        <v>3.9199999999999604</v>
      </c>
      <c r="G394">
        <v>-1.0079349820390273</v>
      </c>
      <c r="H394">
        <v>-1.2057526439378554</v>
      </c>
      <c r="I394">
        <v>3</v>
      </c>
    </row>
    <row r="395" spans="5:9" x14ac:dyDescent="0.3">
      <c r="E395">
        <v>394</v>
      </c>
      <c r="F395">
        <v>3.9299999999999602</v>
      </c>
      <c r="G395">
        <v>-1.0527861160123109</v>
      </c>
      <c r="H395">
        <v>-1.0739409068169679</v>
      </c>
      <c r="I395">
        <v>4</v>
      </c>
    </row>
    <row r="396" spans="5:9" x14ac:dyDescent="0.3">
      <c r="E396">
        <v>395</v>
      </c>
      <c r="F396">
        <v>3.93999999999996</v>
      </c>
      <c r="G396">
        <v>-1.0955180901346522</v>
      </c>
      <c r="H396">
        <v>-0.94102962214713126</v>
      </c>
      <c r="I396">
        <v>5</v>
      </c>
    </row>
    <row r="397" spans="5:9" x14ac:dyDescent="0.3">
      <c r="E397">
        <v>396</v>
      </c>
      <c r="F397">
        <v>3.9499999999999598</v>
      </c>
      <c r="G397">
        <v>-1.1360684560195908</v>
      </c>
      <c r="H397">
        <v>-0.80725903317095982</v>
      </c>
      <c r="I397">
        <v>1</v>
      </c>
    </row>
    <row r="398" spans="5:9" x14ac:dyDescent="0.3">
      <c r="E398">
        <v>397</v>
      </c>
      <c r="F398">
        <v>3.9599999999999596</v>
      </c>
      <c r="G398">
        <v>-1.1743789742423718</v>
      </c>
      <c r="H398">
        <v>-0.67286945669392595</v>
      </c>
      <c r="I398">
        <v>2</v>
      </c>
    </row>
    <row r="399" spans="5:9" x14ac:dyDescent="0.3">
      <c r="E399">
        <v>398</v>
      </c>
      <c r="F399">
        <v>3.9699999999999593</v>
      </c>
      <c r="G399">
        <v>-1.2103956915500236</v>
      </c>
      <c r="H399">
        <v>-0.53810086015348013</v>
      </c>
      <c r="I399">
        <v>3</v>
      </c>
    </row>
    <row r="400" spans="5:9" x14ac:dyDescent="0.3">
      <c r="E400">
        <v>399</v>
      </c>
      <c r="F400">
        <v>3.9799999999999591</v>
      </c>
      <c r="G400">
        <v>-1.2440690100742879</v>
      </c>
      <c r="H400">
        <v>-0.40319244183237801</v>
      </c>
      <c r="I400">
        <v>4</v>
      </c>
    </row>
    <row r="401" spans="5:9" x14ac:dyDescent="0.3">
      <c r="E401">
        <v>400</v>
      </c>
      <c r="F401">
        <v>3.9899999999999589</v>
      </c>
      <c r="G401">
        <v>-1.2753537484734379</v>
      </c>
      <c r="H401">
        <v>-0.26838221493541836</v>
      </c>
      <c r="I401">
        <v>5</v>
      </c>
    </row>
    <row r="402" spans="5:9" x14ac:dyDescent="0.3">
      <c r="E402">
        <v>401</v>
      </c>
      <c r="F402">
        <v>3.9999999999999587</v>
      </c>
      <c r="G402">
        <v>-1.3042091949438894</v>
      </c>
      <c r="H402">
        <v>-0.13390659623765677</v>
      </c>
      <c r="I402">
        <v>1</v>
      </c>
    </row>
    <row r="403" spans="5:9" x14ac:dyDescent="0.3">
      <c r="E403">
        <v>402</v>
      </c>
      <c r="F403">
        <v>4.0099999999999589</v>
      </c>
      <c r="G403">
        <v>-1.330599152056942</v>
      </c>
      <c r="H403">
        <v>1.3376999956827804E-14</v>
      </c>
      <c r="I403">
        <v>2</v>
      </c>
    </row>
    <row r="404" spans="5:9" x14ac:dyDescent="0.3">
      <c r="E404">
        <v>403</v>
      </c>
      <c r="F404">
        <v>4.0199999999999587</v>
      </c>
      <c r="G404">
        <v>-1.3544919733908154</v>
      </c>
      <c r="H404">
        <v>0.1331055621655774</v>
      </c>
      <c r="I404">
        <v>3</v>
      </c>
    </row>
    <row r="405" spans="5:9" x14ac:dyDescent="0.3">
      <c r="E405">
        <v>404</v>
      </c>
      <c r="F405">
        <v>4.0299999999999585</v>
      </c>
      <c r="G405">
        <v>-1.3758605919425804</v>
      </c>
      <c r="H405">
        <v>0.26518087481294411</v>
      </c>
      <c r="I405">
        <v>4</v>
      </c>
    </row>
    <row r="406" spans="5:9" x14ac:dyDescent="0.3">
      <c r="E406">
        <v>405</v>
      </c>
      <c r="F406">
        <v>4.0399999999999583</v>
      </c>
      <c r="G406">
        <v>-1.394682540319272</v>
      </c>
      <c r="H406">
        <v>0.39599990490918147</v>
      </c>
      <c r="I406">
        <v>5</v>
      </c>
    </row>
    <row r="407" spans="5:9" x14ac:dyDescent="0.3">
      <c r="E407">
        <v>406</v>
      </c>
      <c r="F407">
        <v>4.0499999999999581</v>
      </c>
      <c r="G407">
        <v>-1.4109399627218357</v>
      </c>
      <c r="H407">
        <v>0.5253401801763079</v>
      </c>
      <c r="I407">
        <v>1</v>
      </c>
    </row>
    <row r="408" spans="5:9" x14ac:dyDescent="0.3">
      <c r="E408">
        <v>407</v>
      </c>
      <c r="F408">
        <v>4.0599999999999579</v>
      </c>
      <c r="G408">
        <v>-1.4246196187499265</v>
      </c>
      <c r="H408">
        <v>0.65298315890986025</v>
      </c>
      <c r="I408">
        <v>2</v>
      </c>
    </row>
    <row r="409" spans="5:9" x14ac:dyDescent="0.3">
      <c r="E409">
        <v>408</v>
      </c>
      <c r="F409">
        <v>4.0699999999999577</v>
      </c>
      <c r="G409">
        <v>-1.435712879069813</v>
      </c>
      <c r="H409">
        <v>0.77871459067496496</v>
      </c>
      <c r="I409">
        <v>3</v>
      </c>
    </row>
    <row r="410" spans="5:9" x14ac:dyDescent="0.3">
      <c r="E410">
        <v>409</v>
      </c>
      <c r="F410">
        <v>4.0799999999999574</v>
      </c>
      <c r="G410">
        <v>-1.4442157130016824</v>
      </c>
      <c r="H410">
        <v>0.90232486730045569</v>
      </c>
      <c r="I410">
        <v>4</v>
      </c>
    </row>
    <row r="411" spans="5:9" x14ac:dyDescent="0.3">
      <c r="E411">
        <v>410</v>
      </c>
      <c r="F411">
        <v>4.0899999999999572</v>
      </c>
      <c r="G411">
        <v>-1.4501286680964971</v>
      </c>
      <c r="H411">
        <v>1.0236093636119306</v>
      </c>
      <c r="I411">
        <v>5</v>
      </c>
    </row>
    <row r="412" spans="5:9" x14ac:dyDescent="0.3">
      <c r="E412">
        <v>411</v>
      </c>
      <c r="F412">
        <v>4.099999999999957</v>
      </c>
      <c r="G412">
        <v>-1.4534568417862239</v>
      </c>
      <c r="H412">
        <v>1.142368767366182</v>
      </c>
      <c r="I412">
        <v>1</v>
      </c>
    </row>
    <row r="413" spans="5:9" x14ac:dyDescent="0.3">
      <c r="E413">
        <v>412</v>
      </c>
      <c r="F413">
        <v>4.1099999999999568</v>
      </c>
      <c r="G413">
        <v>-1.4542098452047023</v>
      </c>
      <c r="H413">
        <v>1.2584093978714497</v>
      </c>
      <c r="I413">
        <v>2</v>
      </c>
    </row>
    <row r="414" spans="5:9" x14ac:dyDescent="0.3">
      <c r="E414">
        <v>413</v>
      </c>
      <c r="F414">
        <v>4.1199999999999566</v>
      </c>
      <c r="G414">
        <v>-1.4524017592895915</v>
      </c>
      <c r="H414">
        <v>1.3715435128011253</v>
      </c>
      <c r="I414">
        <v>3</v>
      </c>
    </row>
    <row r="415" spans="5:9" x14ac:dyDescent="0.3">
      <c r="E415">
        <v>414</v>
      </c>
      <c r="F415">
        <v>4.1299999999999564</v>
      </c>
      <c r="G415">
        <v>-1.4480510832887421</v>
      </c>
      <c r="H415">
        <v>1.4815896027320912</v>
      </c>
      <c r="I415">
        <v>4</v>
      </c>
    </row>
    <row r="416" spans="5:9" x14ac:dyDescent="0.3">
      <c r="E416">
        <v>415</v>
      </c>
      <c r="F416">
        <v>4.1399999999999562</v>
      </c>
      <c r="G416">
        <v>-1.4411806758069581</v>
      </c>
      <c r="H416">
        <v>1.588372672963289</v>
      </c>
      <c r="I416">
        <v>5</v>
      </c>
    </row>
    <row r="417" spans="5:9" x14ac:dyDescent="0.3">
      <c r="E417">
        <v>416</v>
      </c>
      <c r="F417">
        <v>4.1499999999999559</v>
      </c>
      <c r="G417">
        <v>-1.431817688541424</v>
      </c>
      <c r="H417">
        <v>1.6917245121952242</v>
      </c>
      <c r="I417">
        <v>1</v>
      </c>
    </row>
    <row r="418" spans="5:9" x14ac:dyDescent="0.3">
      <c r="E418">
        <v>417</v>
      </c>
      <c r="F418">
        <v>4.1599999999999557</v>
      </c>
      <c r="G418">
        <v>-1.4199934928660189</v>
      </c>
      <c r="H418">
        <v>1.791483947676574</v>
      </c>
      <c r="I418">
        <v>2</v>
      </c>
    </row>
    <row r="419" spans="5:9" x14ac:dyDescent="0.3">
      <c r="E419">
        <v>418</v>
      </c>
      <c r="F419">
        <v>4.1699999999999555</v>
      </c>
      <c r="G419">
        <v>-1.4057435994363721</v>
      </c>
      <c r="H419">
        <v>1.8874970864503515</v>
      </c>
      <c r="I419">
        <v>3</v>
      </c>
    </row>
    <row r="420" spans="5:9" x14ac:dyDescent="0.3">
      <c r="E420">
        <v>419</v>
      </c>
      <c r="F420">
        <v>4.1799999999999553</v>
      </c>
      <c r="G420">
        <v>-1.3891075709987484</v>
      </c>
      <c r="H420">
        <v>1.9796175423585929</v>
      </c>
      <c r="I420">
        <v>4</v>
      </c>
    </row>
    <row r="421" spans="5:9" x14ac:dyDescent="0.3">
      <c r="E421">
        <v>420</v>
      </c>
      <c r="F421">
        <v>4.1899999999999551</v>
      </c>
      <c r="G421">
        <v>-1.3701289285967098</v>
      </c>
      <c r="H421">
        <v>2.0677066484917526</v>
      </c>
      <c r="I421">
        <v>5</v>
      </c>
    </row>
    <row r="422" spans="5:9" x14ac:dyDescent="0.3">
      <c r="E422">
        <v>421</v>
      </c>
      <c r="F422">
        <v>4.1999999999999549</v>
      </c>
      <c r="G422">
        <v>-1.3488550513799251</v>
      </c>
      <c r="H422">
        <v>2.1516336547962993</v>
      </c>
      <c r="I422">
        <v>1</v>
      </c>
    </row>
    <row r="423" spans="5:9" x14ac:dyDescent="0.3">
      <c r="E423">
        <v>422</v>
      </c>
      <c r="F423">
        <v>4.2099999999999547</v>
      </c>
      <c r="G423">
        <v>-1.3253370702295679</v>
      </c>
      <c r="H423">
        <v>2.2312759105819508</v>
      </c>
      <c r="I423">
        <v>2</v>
      </c>
    </row>
    <row r="424" spans="5:9" x14ac:dyDescent="0.3">
      <c r="E424">
        <v>423</v>
      </c>
      <c r="F424">
        <v>4.2199999999999545</v>
      </c>
      <c r="G424">
        <v>-1.2996297554242757</v>
      </c>
      <c r="H424">
        <v>2.3065190316979658</v>
      </c>
      <c r="I424">
        <v>3</v>
      </c>
    </row>
    <row r="425" spans="5:9" x14ac:dyDescent="0.3">
      <c r="E425">
        <v>424</v>
      </c>
      <c r="F425">
        <v>4.2299999999999542</v>
      </c>
      <c r="G425">
        <v>-1.2717913985798428</v>
      </c>
      <c r="H425">
        <v>2.3772570521763638</v>
      </c>
      <c r="I425">
        <v>4</v>
      </c>
    </row>
    <row r="426" spans="5:9" x14ac:dyDescent="0.3">
      <c r="E426">
        <v>425</v>
      </c>
      <c r="F426">
        <v>4.239999999999954</v>
      </c>
      <c r="G426">
        <v>-1.2418836891044165</v>
      </c>
      <c r="H426">
        <v>2.4433925601683328</v>
      </c>
      <c r="I426">
        <v>5</v>
      </c>
    </row>
    <row r="427" spans="5:9" x14ac:dyDescent="0.3">
      <c r="E427">
        <v>426</v>
      </c>
      <c r="F427">
        <v>4.2499999999999538</v>
      </c>
      <c r="G427">
        <v>-1.2099715854192574</v>
      </c>
      <c r="H427">
        <v>2.5048368180288367</v>
      </c>
      <c r="I427">
        <v>1</v>
      </c>
    </row>
    <row r="428" spans="5:9" x14ac:dyDescent="0.3">
      <c r="E428">
        <v>427</v>
      </c>
      <c r="F428">
        <v>4.2599999999999536</v>
      </c>
      <c r="G428">
        <v>-1.1761231812027138</v>
      </c>
      <c r="H428">
        <v>2.5615098664331164</v>
      </c>
      <c r="I428">
        <v>2</v>
      </c>
    </row>
    <row r="429" spans="5:9" x14ac:dyDescent="0.3">
      <c r="E429">
        <v>428</v>
      </c>
      <c r="F429">
        <v>4.2699999999999534</v>
      </c>
      <c r="G429">
        <v>-1.1404095669224024</v>
      </c>
      <c r="H429">
        <v>2.6133406124375647</v>
      </c>
      <c r="I429">
        <v>3</v>
      </c>
    </row>
    <row r="430" spans="5:9" x14ac:dyDescent="0.3">
      <c r="E430">
        <v>429</v>
      </c>
      <c r="F430">
        <v>4.2799999999999532</v>
      </c>
      <c r="G430">
        <v>-1.1029046869271435</v>
      </c>
      <c r="H430">
        <v>2.6602669014262239</v>
      </c>
      <c r="I430">
        <v>4</v>
      </c>
    </row>
    <row r="431" spans="5:9" x14ac:dyDescent="0.3">
      <c r="E431">
        <v>430</v>
      </c>
      <c r="F431">
        <v>4.289999999999953</v>
      </c>
      <c r="G431">
        <v>-1.063685192376528</v>
      </c>
      <c r="H431">
        <v>2.7022355729127887</v>
      </c>
      <c r="I431">
        <v>5</v>
      </c>
    </row>
    <row r="432" spans="5:9" x14ac:dyDescent="0.3">
      <c r="E432">
        <v>431</v>
      </c>
      <c r="F432">
        <v>4.2999999999999527</v>
      </c>
      <c r="G432">
        <v>-1.0228302902914976</v>
      </c>
      <c r="H432">
        <v>2.7392025001965954</v>
      </c>
      <c r="I432">
        <v>1</v>
      </c>
    </row>
    <row r="433" spans="5:9" x14ac:dyDescent="0.3">
      <c r="E433">
        <v>432</v>
      </c>
      <c r="F433">
        <v>4.3099999999999525</v>
      </c>
      <c r="G433">
        <v>-0.98042158901458187</v>
      </c>
      <c r="H433">
        <v>2.7711326138994821</v>
      </c>
      <c r="I433">
        <v>2</v>
      </c>
    </row>
    <row r="434" spans="5:9" x14ac:dyDescent="0.3">
      <c r="E434">
        <v>433</v>
      </c>
      <c r="F434">
        <v>4.3199999999999523</v>
      </c>
      <c r="G434">
        <v>-0.93654294037293784</v>
      </c>
      <c r="H434">
        <v>2.7979999094385533</v>
      </c>
      <c r="I434">
        <v>3</v>
      </c>
    </row>
    <row r="435" spans="5:9" x14ac:dyDescent="0.3">
      <c r="E435">
        <v>434</v>
      </c>
      <c r="F435">
        <v>4.3299999999999521</v>
      </c>
      <c r="G435">
        <v>-0.89128027884138705</v>
      </c>
      <c r="H435">
        <v>2.819787438517805</v>
      </c>
      <c r="I435">
        <v>4</v>
      </c>
    </row>
    <row r="436" spans="5:9" x14ac:dyDescent="0.3">
      <c r="E436">
        <v>435</v>
      </c>
      <c r="F436">
        <v>4.3399999999999519</v>
      </c>
      <c r="G436">
        <v>-0.84472145800616738</v>
      </c>
      <c r="H436">
        <v>2.8364872847491713</v>
      </c>
      <c r="I436">
        <v>5</v>
      </c>
    </row>
    <row r="437" spans="5:9" x14ac:dyDescent="0.3">
      <c r="E437">
        <v>436</v>
      </c>
      <c r="F437">
        <v>4.3499999999999517</v>
      </c>
      <c r="G437">
        <v>-0.79695608463307166</v>
      </c>
      <c r="H437">
        <v>2.8481005235407948</v>
      </c>
      <c r="I437">
        <v>1</v>
      </c>
    </row>
    <row r="438" spans="5:9" x14ac:dyDescent="0.3">
      <c r="E438">
        <v>437</v>
      </c>
      <c r="F438">
        <v>4.3599999999999515</v>
      </c>
      <c r="G438">
        <v>-0.74807535064600561</v>
      </c>
      <c r="H438">
        <v>2.8546371664171506</v>
      </c>
      <c r="I438">
        <v>2</v>
      </c>
    </row>
    <row r="439" spans="5:9" x14ac:dyDescent="0.3">
      <c r="E439">
        <v>438</v>
      </c>
      <c r="F439">
        <v>4.3699999999999513</v>
      </c>
      <c r="G439">
        <v>-0.69817186332384362</v>
      </c>
      <c r="H439">
        <v>2.8561160899620375</v>
      </c>
      <c r="I439">
        <v>3</v>
      </c>
    </row>
    <row r="440" spans="5:9" x14ac:dyDescent="0.3">
      <c r="E440">
        <v>439</v>
      </c>
      <c r="F440">
        <v>4.379999999999951</v>
      </c>
      <c r="G440">
        <v>-0.6473394740247731</v>
      </c>
      <c r="H440">
        <v>2.8525649496013505</v>
      </c>
      <c r="I440">
        <v>4</v>
      </c>
    </row>
    <row r="441" spans="5:9" x14ac:dyDescent="0.3">
      <c r="E441">
        <v>440</v>
      </c>
      <c r="F441">
        <v>4.3899999999999508</v>
      </c>
      <c r="G441">
        <v>-0.59567310574807197</v>
      </c>
      <c r="H441">
        <v>2.8440200784678984</v>
      </c>
      <c r="I441">
        <v>5</v>
      </c>
    </row>
    <row r="442" spans="5:9" x14ac:dyDescent="0.3">
      <c r="E442">
        <v>441</v>
      </c>
      <c r="F442">
        <v>4.3999999999999506</v>
      </c>
      <c r="G442">
        <v>-0.54326857984340982</v>
      </c>
      <c r="H442">
        <v>2.8305263716153033</v>
      </c>
      <c r="I442">
        <v>1</v>
      </c>
    </row>
    <row r="443" spans="5:9" x14ac:dyDescent="0.3">
      <c r="E443">
        <v>442</v>
      </c>
      <c r="F443">
        <v>4.4099999999999504</v>
      </c>
      <c r="G443">
        <v>-0.49022244217741262</v>
      </c>
      <c r="H443">
        <v>2.8121371558721866</v>
      </c>
      <c r="I443">
        <v>2</v>
      </c>
    </row>
    <row r="444" spans="5:9" x14ac:dyDescent="0.3">
      <c r="E444">
        <v>443</v>
      </c>
      <c r="F444">
        <v>4.4199999999999502</v>
      </c>
      <c r="G444">
        <v>-0.43663178906636063</v>
      </c>
      <c r="H444">
        <v>2.7889140456513486</v>
      </c>
      <c r="I444">
        <v>3</v>
      </c>
    </row>
    <row r="445" spans="5:9" x14ac:dyDescent="0.3">
      <c r="E445">
        <v>444</v>
      </c>
      <c r="F445">
        <v>4.42999999999995</v>
      </c>
      <c r="G445">
        <v>-0.38259409328246041</v>
      </c>
      <c r="H445">
        <v>2.7609267850514421</v>
      </c>
      <c r="I445">
        <v>4</v>
      </c>
    </row>
    <row r="446" spans="5:9" x14ac:dyDescent="0.3">
      <c r="E446">
        <v>445</v>
      </c>
      <c r="F446">
        <v>4.4399999999999498</v>
      </c>
      <c r="G446">
        <v>-0.32820703043912031</v>
      </c>
      <c r="H446">
        <v>2.7282530766107551</v>
      </c>
      <c r="I446">
        <v>5</v>
      </c>
    </row>
    <row r="447" spans="5:9" x14ac:dyDescent="0.3">
      <c r="E447">
        <v>446</v>
      </c>
      <c r="F447">
        <v>4.4499999999999496</v>
      </c>
      <c r="G447">
        <v>-0.27356830605817389</v>
      </c>
      <c r="H447">
        <v>2.6909783970939904</v>
      </c>
      <c r="I447">
        <v>1</v>
      </c>
    </row>
    <row r="448" spans="5:9" x14ac:dyDescent="0.3">
      <c r="E448">
        <v>447</v>
      </c>
      <c r="F448">
        <v>4.4599999999999493</v>
      </c>
      <c r="G448">
        <v>-0.21877548361900956</v>
      </c>
      <c r="H448">
        <v>2.6491958007134713</v>
      </c>
      <c r="I448">
        <v>2</v>
      </c>
    </row>
    <row r="449" spans="5:9" x14ac:dyDescent="0.3">
      <c r="E449">
        <v>448</v>
      </c>
      <c r="F449">
        <v>4.4699999999999491</v>
      </c>
      <c r="G449">
        <v>-0.16392581388605562</v>
      </c>
      <c r="H449">
        <v>2.6030057102059092</v>
      </c>
      <c r="I449">
        <v>3</v>
      </c>
    </row>
    <row r="450" spans="5:9" x14ac:dyDescent="0.3">
      <c r="E450">
        <v>449</v>
      </c>
      <c r="F450">
        <v>4.4799999999999489</v>
      </c>
      <c r="G450">
        <v>-0.10911606580700881</v>
      </c>
      <c r="H450">
        <v>2.5525156962046567</v>
      </c>
      <c r="I450">
        <v>4</v>
      </c>
    </row>
    <row r="451" spans="5:9" x14ac:dyDescent="0.3">
      <c r="E451">
        <v>450</v>
      </c>
      <c r="F451">
        <v>4.4899999999999487</v>
      </c>
      <c r="G451">
        <v>-5.4442359269652359E-2</v>
      </c>
      <c r="H451">
        <v>2.497840245365353</v>
      </c>
      <c r="I451">
        <v>5</v>
      </c>
    </row>
    <row r="452" spans="5:9" x14ac:dyDescent="0.3">
      <c r="E452">
        <v>451</v>
      </c>
      <c r="F452">
        <v>4.4999999999999485</v>
      </c>
      <c r="G452">
        <v>-2.8185978154254769E-13</v>
      </c>
      <c r="H452">
        <v>2.439100517719873</v>
      </c>
      <c r="I452">
        <v>1</v>
      </c>
    </row>
    <row r="453" spans="5:9" x14ac:dyDescent="0.3">
      <c r="E453">
        <v>452</v>
      </c>
      <c r="F453">
        <v>4.5099999999999483</v>
      </c>
      <c r="G453">
        <v>5.4116683118955788E-2</v>
      </c>
      <c r="H453">
        <v>2.3764240937496286</v>
      </c>
      <c r="I453">
        <v>2</v>
      </c>
    </row>
    <row r="454" spans="5:9" x14ac:dyDescent="0.3">
      <c r="E454">
        <v>453</v>
      </c>
      <c r="F454">
        <v>4.5199999999999481</v>
      </c>
      <c r="G454">
        <v>0.10781449804212796</v>
      </c>
      <c r="H454">
        <v>2.3099447116843672</v>
      </c>
      <c r="I454">
        <v>3</v>
      </c>
    </row>
    <row r="455" spans="5:9" x14ac:dyDescent="0.3">
      <c r="E455">
        <v>454</v>
      </c>
      <c r="F455">
        <v>4.5299999999999478</v>
      </c>
      <c r="G455">
        <v>0.16100154659595339</v>
      </c>
      <c r="H455">
        <v>2.2398019955467454</v>
      </c>
      <c r="I455">
        <v>4</v>
      </c>
    </row>
    <row r="456" spans="5:9" x14ac:dyDescent="0.3">
      <c r="E456">
        <v>455</v>
      </c>
      <c r="F456">
        <v>4.5399999999999476</v>
      </c>
      <c r="G456">
        <v>0.21358737830206556</v>
      </c>
      <c r="H456">
        <v>2.1661411744762544</v>
      </c>
      <c r="I456">
        <v>5</v>
      </c>
    </row>
    <row r="457" spans="5:9" x14ac:dyDescent="0.3">
      <c r="E457">
        <v>456</v>
      </c>
      <c r="F457">
        <v>4.5499999999999474</v>
      </c>
      <c r="G457">
        <v>0.26548314073404755</v>
      </c>
      <c r="H457">
        <v>2.0891127938779577</v>
      </c>
      <c r="I457">
        <v>1</v>
      </c>
    </row>
    <row r="458" spans="5:9" x14ac:dyDescent="0.3">
      <c r="E458">
        <v>457</v>
      </c>
      <c r="F458">
        <v>4.5599999999999472</v>
      </c>
      <c r="G458">
        <v>0.31660172616548576</v>
      </c>
      <c r="H458">
        <v>2.0088724189529201</v>
      </c>
      <c r="I458">
        <v>2</v>
      </c>
    </row>
    <row r="459" spans="5:9" x14ac:dyDescent="0.3">
      <c r="E459">
        <v>458</v>
      </c>
      <c r="F459">
        <v>4.569999999999947</v>
      </c>
      <c r="G459">
        <v>0.36685791427355763</v>
      </c>
      <c r="H459">
        <v>1.9255803311769923</v>
      </c>
      <c r="I459">
        <v>3</v>
      </c>
    </row>
    <row r="460" spans="5:9" x14ac:dyDescent="0.3">
      <c r="E460">
        <v>459</v>
      </c>
      <c r="F460">
        <v>4.5799999999999468</v>
      </c>
      <c r="G460">
        <v>0.41616851067072735</v>
      </c>
      <c r="H460">
        <v>1.8394012183037989</v>
      </c>
      <c r="I460">
        <v>4</v>
      </c>
    </row>
    <row r="461" spans="5:9" x14ac:dyDescent="0.3">
      <c r="E461">
        <v>460</v>
      </c>
      <c r="F461">
        <v>4.5899999999999466</v>
      </c>
      <c r="G461">
        <v>0.46445248104609232</v>
      </c>
      <c r="H461">
        <v>1.7505038584756549</v>
      </c>
      <c r="I461">
        <v>5</v>
      </c>
    </row>
    <row r="462" spans="5:9" x14ac:dyDescent="0.3">
      <c r="E462">
        <v>461</v>
      </c>
      <c r="F462">
        <v>4.5999999999999464</v>
      </c>
      <c r="G462">
        <v>0.51163108070671104</v>
      </c>
      <c r="H462">
        <v>1.6590607990329966</v>
      </c>
      <c r="I462">
        <v>1</v>
      </c>
    </row>
    <row r="463" spans="5:9" x14ac:dyDescent="0.3">
      <c r="E463">
        <v>462</v>
      </c>
      <c r="F463">
        <v>4.6099999999999461</v>
      </c>
      <c r="G463">
        <v>0.55762797931873165</v>
      </c>
      <c r="H463">
        <v>1.5652480306187171</v>
      </c>
      <c r="I463">
        <v>2</v>
      </c>
    </row>
    <row r="464" spans="5:9" x14ac:dyDescent="0.3">
      <c r="E464">
        <v>463</v>
      </c>
      <c r="F464">
        <v>4.6199999999999459</v>
      </c>
      <c r="G464">
        <v>0.60236938065775136</v>
      </c>
      <c r="H464">
        <v>1.4692446571785038</v>
      </c>
      <c r="I464">
        <v>3</v>
      </c>
    </row>
    <row r="465" spans="5:9" x14ac:dyDescent="0.3">
      <c r="E465">
        <v>464</v>
      </c>
      <c r="F465">
        <v>4.6299999999999457</v>
      </c>
      <c r="G465">
        <v>0.64578413718771066</v>
      </c>
      <c r="H465">
        <v>1.3712325624618709</v>
      </c>
      <c r="I465">
        <v>4</v>
      </c>
    </row>
    <row r="466" spans="5:9" x14ac:dyDescent="0.3">
      <c r="E466">
        <v>465</v>
      </c>
      <c r="F466">
        <v>4.6399999999999455</v>
      </c>
      <c r="G466">
        <v>0.68780385929781251</v>
      </c>
      <c r="H466">
        <v>1.2713960736311474</v>
      </c>
      <c r="I466">
        <v>5</v>
      </c>
    </row>
    <row r="467" spans="5:9" x14ac:dyDescent="0.3">
      <c r="E467">
        <v>466</v>
      </c>
      <c r="F467">
        <v>4.6499999999999453</v>
      </c>
      <c r="G467">
        <v>0.72836301903738931</v>
      </c>
      <c r="H467">
        <v>1.169921622587101</v>
      </c>
      <c r="I467">
        <v>1</v>
      </c>
    </row>
    <row r="468" spans="5:9" x14ac:dyDescent="0.3">
      <c r="E468">
        <v>467</v>
      </c>
      <c r="F468">
        <v>4.6599999999999451</v>
      </c>
      <c r="G468">
        <v>0.76739904819927618</v>
      </c>
      <c r="H468">
        <v>1.066997405620276</v>
      </c>
      <c r="I468">
        <v>2</v>
      </c>
    </row>
    <row r="469" spans="5:9" x14ac:dyDescent="0.3">
      <c r="E469">
        <v>468</v>
      </c>
      <c r="F469">
        <v>4.6699999999999449</v>
      </c>
      <c r="G469">
        <v>0.80485243061304534</v>
      </c>
      <c r="H469">
        <v>0.96281304199641138</v>
      </c>
      <c r="I469">
        <v>3</v>
      </c>
    </row>
    <row r="470" spans="5:9" x14ac:dyDescent="0.3">
      <c r="E470">
        <v>469</v>
      </c>
      <c r="F470">
        <v>4.6799999999999446</v>
      </c>
      <c r="G470">
        <v>0.84066678852046806</v>
      </c>
      <c r="H470">
        <v>0.85755923208253548</v>
      </c>
      <c r="I470">
        <v>4</v>
      </c>
    </row>
    <row r="471" spans="5:9" x14ac:dyDescent="0.3">
      <c r="E471">
        <v>470</v>
      </c>
      <c r="F471">
        <v>4.6899999999999444</v>
      </c>
      <c r="G471">
        <v>0.87478896291676578</v>
      </c>
      <c r="H471">
        <v>0.75142741561752902</v>
      </c>
      <c r="I471">
        <v>5</v>
      </c>
    </row>
    <row r="472" spans="5:9" x14ac:dyDescent="0.3">
      <c r="E472">
        <v>471</v>
      </c>
      <c r="F472">
        <v>4.6999999999999442</v>
      </c>
      <c r="G472">
        <v>0.90716908775251925</v>
      </c>
      <c r="H472">
        <v>0.64460943072706678</v>
      </c>
      <c r="I472">
        <v>1</v>
      </c>
    </row>
    <row r="473" spans="5:9" x14ac:dyDescent="0.3">
      <c r="E473">
        <v>472</v>
      </c>
      <c r="F473">
        <v>4.709999999999944</v>
      </c>
      <c r="G473">
        <v>0.93776065790248642</v>
      </c>
      <c r="H473">
        <v>0.53729717427795376</v>
      </c>
      <c r="I473">
        <v>2</v>
      </c>
    </row>
    <row r="474" spans="5:9" x14ac:dyDescent="0.3">
      <c r="E474">
        <v>473</v>
      </c>
      <c r="F474">
        <v>4.7199999999999438</v>
      </c>
      <c r="G474">
        <v>0.96652059081912389</v>
      </c>
      <c r="H474">
        <v>0.42968226416096894</v>
      </c>
      <c r="I474">
        <v>3</v>
      </c>
    </row>
    <row r="475" spans="5:9" x14ac:dyDescent="0.3">
      <c r="E475">
        <v>474</v>
      </c>
      <c r="F475">
        <v>4.7299999999999436</v>
      </c>
      <c r="G475">
        <v>0.99340928180020249</v>
      </c>
      <c r="H475">
        <v>0.32195570408439661</v>
      </c>
      <c r="I475">
        <v>4</v>
      </c>
    </row>
    <row r="476" spans="5:9" x14ac:dyDescent="0.3">
      <c r="E476">
        <v>475</v>
      </c>
      <c r="F476">
        <v>4.7399999999999434</v>
      </c>
      <c r="G476">
        <v>1.0183906528115705</v>
      </c>
      <c r="H476">
        <v>0.2143075514525449</v>
      </c>
      <c r="I476">
        <v>5</v>
      </c>
    </row>
    <row r="477" spans="5:9" x14ac:dyDescent="0.3">
      <c r="E477">
        <v>476</v>
      </c>
      <c r="F477">
        <v>4.7499999999999432</v>
      </c>
      <c r="G477">
        <v>1.0414321948177701</v>
      </c>
      <c r="H477">
        <v>0.10692658889468942</v>
      </c>
      <c r="I477">
        <v>1</v>
      </c>
    </row>
    <row r="478" spans="5:9" x14ac:dyDescent="0.3">
      <c r="E478">
        <v>477</v>
      </c>
      <c r="F478">
        <v>4.7599999999999429</v>
      </c>
      <c r="G478">
        <v>1.0625050035849122</v>
      </c>
      <c r="H478">
        <v>4.1635645356205934E-14</v>
      </c>
      <c r="I478">
        <v>2</v>
      </c>
    </row>
    <row r="479" spans="5:9" x14ac:dyDescent="0.3">
      <c r="E479">
        <v>478</v>
      </c>
      <c r="F479">
        <v>4.7699999999999427</v>
      </c>
      <c r="G479">
        <v>1.0815838089319314</v>
      </c>
      <c r="H479">
        <v>-0.10628695019623936</v>
      </c>
      <c r="I479">
        <v>3</v>
      </c>
    </row>
    <row r="480" spans="5:9" x14ac:dyDescent="0.3">
      <c r="E480">
        <v>479</v>
      </c>
      <c r="F480">
        <v>4.7799999999999425</v>
      </c>
      <c r="G480">
        <v>1.0986469974180015</v>
      </c>
      <c r="H480">
        <v>-0.21175122944287991</v>
      </c>
      <c r="I480">
        <v>4</v>
      </c>
    </row>
    <row r="481" spans="5:9" x14ac:dyDescent="0.3">
      <c r="E481">
        <v>480</v>
      </c>
      <c r="F481">
        <v>4.7899999999999423</v>
      </c>
      <c r="G481">
        <v>1.1136766284654447</v>
      </c>
      <c r="H481">
        <v>-0.31621234669708825</v>
      </c>
      <c r="I481">
        <v>5</v>
      </c>
    </row>
    <row r="482" spans="5:9" x14ac:dyDescent="0.3">
      <c r="E482">
        <v>481</v>
      </c>
      <c r="F482">
        <v>4.7999999999999421</v>
      </c>
      <c r="G482">
        <v>1.1266584439291185</v>
      </c>
      <c r="H482">
        <v>-0.41949265423669624</v>
      </c>
      <c r="I482">
        <v>1</v>
      </c>
    </row>
    <row r="483" spans="5:9" x14ac:dyDescent="0.3">
      <c r="E483">
        <v>482</v>
      </c>
      <c r="F483">
        <v>4.8099999999999419</v>
      </c>
      <c r="G483">
        <v>1.1375818711346006</v>
      </c>
      <c r="H483">
        <v>-0.5214176429661902</v>
      </c>
      <c r="I483">
        <v>2</v>
      </c>
    </row>
    <row r="484" spans="5:9" x14ac:dyDescent="0.3">
      <c r="E484">
        <v>483</v>
      </c>
      <c r="F484">
        <v>4.8199999999999417</v>
      </c>
      <c r="G484">
        <v>1.1464400194189532</v>
      </c>
      <c r="H484">
        <v>-0.62181623043846779</v>
      </c>
      <c r="I484">
        <v>3</v>
      </c>
    </row>
    <row r="485" spans="5:9" x14ac:dyDescent="0.3">
      <c r="E485">
        <v>484</v>
      </c>
      <c r="F485">
        <v>4.8299999999999415</v>
      </c>
      <c r="G485">
        <v>1.1532296702189717</v>
      </c>
      <c r="H485">
        <v>-0.72052104112924775</v>
      </c>
      <c r="I485">
        <v>4</v>
      </c>
    </row>
    <row r="486" spans="5:9" x14ac:dyDescent="0.3">
      <c r="E486">
        <v>485</v>
      </c>
      <c r="F486">
        <v>4.8399999999999412</v>
      </c>
      <c r="G486">
        <v>1.1579512607629803</v>
      </c>
      <c r="H486">
        <v>-0.81736867851802375</v>
      </c>
      <c r="I486">
        <v>5</v>
      </c>
    </row>
    <row r="487" spans="5:9" x14ac:dyDescent="0.3">
      <c r="E487">
        <v>486</v>
      </c>
      <c r="F487">
        <v>4.849999999999941</v>
      </c>
      <c r="G487">
        <v>1.160608861433079</v>
      </c>
      <c r="H487">
        <v>-0.91219998854598616</v>
      </c>
      <c r="I487">
        <v>1</v>
      </c>
    </row>
    <row r="488" spans="5:9" x14ac:dyDescent="0.3">
      <c r="E488">
        <v>487</v>
      </c>
      <c r="F488">
        <v>4.8599999999999408</v>
      </c>
      <c r="G488">
        <v>1.1612101468755185</v>
      </c>
      <c r="H488">
        <v>-1.0048603140395063</v>
      </c>
      <c r="I488">
        <v>2</v>
      </c>
    </row>
    <row r="489" spans="5:9" x14ac:dyDescent="0.3">
      <c r="E489">
        <v>488</v>
      </c>
      <c r="F489">
        <v>4.8699999999999406</v>
      </c>
      <c r="G489">
        <v>1.1597663609473954</v>
      </c>
      <c r="H489">
        <v>-1.0951997397058413</v>
      </c>
      <c r="I489">
        <v>3</v>
      </c>
    </row>
    <row r="490" spans="5:9" x14ac:dyDescent="0.3">
      <c r="E490">
        <v>489</v>
      </c>
      <c r="F490">
        <v>4.8799999999999404</v>
      </c>
      <c r="G490">
        <v>1.1562922755981531</v>
      </c>
      <c r="H490">
        <v>-1.1830733273267688</v>
      </c>
      <c r="I490">
        <v>4</v>
      </c>
    </row>
    <row r="491" spans="5:9" x14ac:dyDescent="0.3">
      <c r="E491">
        <v>490</v>
      </c>
      <c r="F491">
        <v>4.8899999999999402</v>
      </c>
      <c r="G491">
        <v>1.1508061437944661</v>
      </c>
      <c r="H491">
        <v>-1.2683413407953021</v>
      </c>
      <c r="I491">
        <v>5</v>
      </c>
    </row>
    <row r="492" spans="5:9" x14ac:dyDescent="0.3">
      <c r="E492">
        <v>491</v>
      </c>
      <c r="F492">
        <v>4.89999999999994</v>
      </c>
      <c r="G492">
        <v>1.1433296466069029</v>
      </c>
      <c r="H492">
        <v>-1.3508694606606149</v>
      </c>
      <c r="I492">
        <v>1</v>
      </c>
    </row>
    <row r="493" spans="5:9" x14ac:dyDescent="0.3">
      <c r="E493">
        <v>492</v>
      </c>
      <c r="F493">
        <v>4.9099999999999397</v>
      </c>
      <c r="G493">
        <v>1.1338878345863106</v>
      </c>
      <c r="H493">
        <v>-1.4305289878667546</v>
      </c>
      <c r="I493">
        <v>2</v>
      </c>
    </row>
    <row r="494" spans="5:9" x14ac:dyDescent="0.3">
      <c r="E494">
        <v>493</v>
      </c>
      <c r="F494">
        <v>4.9199999999999395</v>
      </c>
      <c r="G494">
        <v>1.1225090635671482</v>
      </c>
      <c r="H494">
        <v>-1.5071970363916101</v>
      </c>
      <c r="I494">
        <v>3</v>
      </c>
    </row>
    <row r="495" spans="5:9" x14ac:dyDescent="0.3">
      <c r="E495">
        <v>494</v>
      </c>
      <c r="F495">
        <v>4.9299999999999393</v>
      </c>
      <c r="G495">
        <v>1.1092249250439663</v>
      </c>
      <c r="H495">
        <v>-1.5807567145138504</v>
      </c>
      <c r="I495">
        <v>4</v>
      </c>
    </row>
    <row r="496" spans="5:9" x14ac:dyDescent="0.3">
      <c r="E496">
        <v>495</v>
      </c>
      <c r="F496">
        <v>4.9399999999999391</v>
      </c>
      <c r="G496">
        <v>1.0940701712759062</v>
      </c>
      <c r="H496">
        <v>-1.6510972944571958</v>
      </c>
      <c r="I496">
        <v>5</v>
      </c>
    </row>
    <row r="497" spans="5:9" x14ac:dyDescent="0.3">
      <c r="E497">
        <v>496</v>
      </c>
      <c r="F497">
        <v>4.9499999999999389</v>
      </c>
      <c r="G497">
        <v>1.0770826352824119</v>
      </c>
      <c r="H497">
        <v>-1.7181143701833002</v>
      </c>
      <c r="I497">
        <v>1</v>
      </c>
    </row>
    <row r="498" spans="5:9" x14ac:dyDescent="0.3">
      <c r="E498">
        <v>497</v>
      </c>
      <c r="F498">
        <v>4.9599999999999387</v>
      </c>
      <c r="G498">
        <v>1.0583031459013774</v>
      </c>
      <c r="H498">
        <v>-1.7817100031267261</v>
      </c>
      <c r="I498">
        <v>2</v>
      </c>
    </row>
    <row r="499" spans="5:9" x14ac:dyDescent="0.3">
      <c r="E499">
        <v>498</v>
      </c>
      <c r="F499">
        <v>4.9699999999999385</v>
      </c>
      <c r="G499">
        <v>1.0377754380886013</v>
      </c>
      <c r="H499">
        <v>-1.8417928556879426</v>
      </c>
      <c r="I499">
        <v>3</v>
      </c>
    </row>
    <row r="500" spans="5:9" x14ac:dyDescent="0.3">
      <c r="E500">
        <v>499</v>
      </c>
      <c r="F500">
        <v>4.9799999999999383</v>
      </c>
      <c r="G500">
        <v>1.0155460586447114</v>
      </c>
      <c r="H500">
        <v>-1.8982783123228786</v>
      </c>
      <c r="I500">
        <v>4</v>
      </c>
    </row>
    <row r="501" spans="5:9" x14ac:dyDescent="0.3">
      <c r="E501">
        <v>500</v>
      </c>
      <c r="F501">
        <v>4.989999999999938</v>
      </c>
      <c r="G501">
        <v>0.99166426756264414</v>
      </c>
      <c r="H501">
        <v>-1.9510885880903599</v>
      </c>
      <c r="I501">
        <v>5</v>
      </c>
    </row>
    <row r="502" spans="5:9" x14ac:dyDescent="0.3">
      <c r="E502">
        <v>501</v>
      </c>
      <c r="F502">
        <v>4.9999999999999378</v>
      </c>
      <c r="G502">
        <v>0.96618193519531648</v>
      </c>
      <c r="H502">
        <v>-2.0001528245416087</v>
      </c>
      <c r="I502">
        <v>1</v>
      </c>
    </row>
    <row r="503" spans="5:9" x14ac:dyDescent="0.3">
      <c r="E503">
        <v>502</v>
      </c>
      <c r="H503">
        <v>-2.0454071728589627</v>
      </c>
      <c r="I503">
        <v>2</v>
      </c>
    </row>
    <row r="504" spans="5:9" x14ac:dyDescent="0.3">
      <c r="E504">
        <v>503</v>
      </c>
      <c r="H504">
        <v>-2.086794864173914</v>
      </c>
      <c r="I504">
        <v>3</v>
      </c>
    </row>
    <row r="505" spans="5:9" x14ac:dyDescent="0.3">
      <c r="E505">
        <v>504</v>
      </c>
      <c r="H505">
        <v>-2.1242662670175547</v>
      </c>
      <c r="I505">
        <v>4</v>
      </c>
    </row>
    <row r="506" spans="5:9" x14ac:dyDescent="0.3">
      <c r="E506">
        <v>505</v>
      </c>
      <c r="H506">
        <v>-2.1577789318793625</v>
      </c>
      <c r="I506">
        <v>5</v>
      </c>
    </row>
    <row r="507" spans="5:9" x14ac:dyDescent="0.3">
      <c r="E507">
        <v>506</v>
      </c>
      <c r="H507">
        <v>-2.1872976228731855</v>
      </c>
      <c r="I507">
        <v>1</v>
      </c>
    </row>
    <row r="508" spans="5:9" x14ac:dyDescent="0.3">
      <c r="E508">
        <v>507</v>
      </c>
      <c r="H508">
        <v>-2.2127943365317746</v>
      </c>
      <c r="I508">
        <v>2</v>
      </c>
    </row>
    <row r="509" spans="5:9" x14ac:dyDescent="0.3">
      <c r="E509">
        <v>508</v>
      </c>
      <c r="H509">
        <v>-2.2342483077739304</v>
      </c>
      <c r="I509">
        <v>3</v>
      </c>
    </row>
    <row r="510" spans="5:9" x14ac:dyDescent="0.3">
      <c r="E510">
        <v>509</v>
      </c>
      <c r="H510">
        <v>-2.2516460031104089</v>
      </c>
      <c r="I510">
        <v>4</v>
      </c>
    </row>
    <row r="511" spans="5:9" x14ac:dyDescent="0.3">
      <c r="E511">
        <v>510</v>
      </c>
      <c r="H511">
        <v>-2.2649811011769461</v>
      </c>
      <c r="I511">
        <v>5</v>
      </c>
    </row>
    <row r="512" spans="5:9" x14ac:dyDescent="0.3">
      <c r="E512">
        <v>511</v>
      </c>
      <c r="H512">
        <v>-2.2742544607043884</v>
      </c>
      <c r="I512">
        <v>1</v>
      </c>
    </row>
    <row r="513" spans="5:9" x14ac:dyDescent="0.3">
      <c r="E513">
        <v>512</v>
      </c>
      <c r="H513">
        <v>-2.2794740760574017</v>
      </c>
      <c r="I513">
        <v>2</v>
      </c>
    </row>
    <row r="514" spans="5:9" x14ac:dyDescent="0.3">
      <c r="E514">
        <v>513</v>
      </c>
      <c r="H514">
        <v>-2.2806550204943039</v>
      </c>
      <c r="I514">
        <v>3</v>
      </c>
    </row>
    <row r="515" spans="5:9" x14ac:dyDescent="0.3">
      <c r="E515">
        <v>514</v>
      </c>
      <c r="H515">
        <v>-2.2778193773212099</v>
      </c>
      <c r="I515">
        <v>4</v>
      </c>
    </row>
    <row r="516" spans="5:9" x14ac:dyDescent="0.3">
      <c r="E516">
        <v>515</v>
      </c>
      <c r="H516">
        <v>-2.2709961591339454</v>
      </c>
      <c r="I516">
        <v>5</v>
      </c>
    </row>
    <row r="517" spans="5:9" x14ac:dyDescent="0.3">
      <c r="E517">
        <v>516</v>
      </c>
      <c r="H517">
        <v>-2.2602212153609686</v>
      </c>
      <c r="I517">
        <v>1</v>
      </c>
    </row>
    <row r="518" spans="5:9" x14ac:dyDescent="0.3">
      <c r="E518">
        <v>517</v>
      </c>
      <c r="H518">
        <v>-2.2455371283398304</v>
      </c>
      <c r="I518">
        <v>2</v>
      </c>
    </row>
    <row r="519" spans="5:9" x14ac:dyDescent="0.3">
      <c r="E519">
        <v>518</v>
      </c>
      <c r="H519">
        <v>-2.2269930981784603</v>
      </c>
      <c r="I519">
        <v>3</v>
      </c>
    </row>
    <row r="520" spans="5:9" x14ac:dyDescent="0.3">
      <c r="E520">
        <v>519</v>
      </c>
      <c r="H520">
        <v>-2.2046448166707959</v>
      </c>
      <c r="I520">
        <v>4</v>
      </c>
    </row>
    <row r="521" spans="5:9" x14ac:dyDescent="0.3">
      <c r="E521">
        <v>520</v>
      </c>
      <c r="H521">
        <v>-2.1785543305538977</v>
      </c>
      <c r="I521">
        <v>5</v>
      </c>
    </row>
    <row r="522" spans="5:9" x14ac:dyDescent="0.3">
      <c r="E522">
        <v>521</v>
      </c>
      <c r="H522">
        <v>-2.1487898944107093</v>
      </c>
      <c r="I522">
        <v>1</v>
      </c>
    </row>
    <row r="523" spans="5:9" x14ac:dyDescent="0.3">
      <c r="E523">
        <v>522</v>
      </c>
      <c r="H523">
        <v>-2.1154258135389936</v>
      </c>
      <c r="I523">
        <v>2</v>
      </c>
    </row>
    <row r="524" spans="5:9" x14ac:dyDescent="0.3">
      <c r="E524">
        <v>523</v>
      </c>
      <c r="H524">
        <v>-2.078542277122748</v>
      </c>
      <c r="I524">
        <v>3</v>
      </c>
    </row>
    <row r="525" spans="5:9" x14ac:dyDescent="0.3">
      <c r="E525">
        <v>524</v>
      </c>
      <c r="H525">
        <v>-2.0382251820573685</v>
      </c>
      <c r="I525">
        <v>4</v>
      </c>
    </row>
    <row r="526" spans="5:9" x14ac:dyDescent="0.3">
      <c r="E526">
        <v>525</v>
      </c>
      <c r="H526">
        <v>-1.9945659477942073</v>
      </c>
      <c r="I526">
        <v>5</v>
      </c>
    </row>
    <row r="527" spans="5:9" x14ac:dyDescent="0.3">
      <c r="E527">
        <v>526</v>
      </c>
      <c r="H527">
        <v>-1.9476613225837887</v>
      </c>
      <c r="I527">
        <v>1</v>
      </c>
    </row>
    <row r="528" spans="5:9" x14ac:dyDescent="0.3">
      <c r="E528">
        <v>527</v>
      </c>
      <c r="H528">
        <v>-1.8976131815097164</v>
      </c>
      <c r="I528">
        <v>2</v>
      </c>
    </row>
    <row r="529" spans="5:9" x14ac:dyDescent="0.3">
      <c r="E529">
        <v>528</v>
      </c>
      <c r="H529">
        <v>-1.8445283167175084</v>
      </c>
      <c r="I529">
        <v>3</v>
      </c>
    </row>
    <row r="530" spans="5:9" x14ac:dyDescent="0.3">
      <c r="E530">
        <v>529</v>
      </c>
      <c r="H530">
        <v>-1.788518220253787</v>
      </c>
      <c r="I530">
        <v>4</v>
      </c>
    </row>
    <row r="531" spans="5:9" x14ac:dyDescent="0.3">
      <c r="E531">
        <v>530</v>
      </c>
      <c r="H531">
        <v>-1.7296988599418692</v>
      </c>
      <c r="I531">
        <v>5</v>
      </c>
    </row>
    <row r="532" spans="5:9" x14ac:dyDescent="0.3">
      <c r="E532">
        <v>531</v>
      </c>
      <c r="H532">
        <v>-1.6681904487293659</v>
      </c>
      <c r="I532">
        <v>1</v>
      </c>
    </row>
    <row r="533" spans="5:9" x14ac:dyDescent="0.3">
      <c r="E533">
        <v>532</v>
      </c>
      <c r="H533">
        <v>-1.6041172079523947</v>
      </c>
      <c r="I533">
        <v>2</v>
      </c>
    </row>
    <row r="534" spans="5:9" x14ac:dyDescent="0.3">
      <c r="E534">
        <v>533</v>
      </c>
      <c r="H534">
        <v>-1.5376071249689873</v>
      </c>
      <c r="I534">
        <v>3</v>
      </c>
    </row>
    <row r="535" spans="5:9" x14ac:dyDescent="0.3">
      <c r="E535">
        <v>534</v>
      </c>
      <c r="H535">
        <v>-1.4687917056214512</v>
      </c>
      <c r="I535">
        <v>4</v>
      </c>
    </row>
    <row r="536" spans="5:9" x14ac:dyDescent="0.3">
      <c r="E536">
        <v>535</v>
      </c>
      <c r="H536">
        <v>-1.397805721993796</v>
      </c>
      <c r="I536">
        <v>5</v>
      </c>
    </row>
    <row r="537" spans="5:9" x14ac:dyDescent="0.3">
      <c r="E537">
        <v>536</v>
      </c>
      <c r="H537">
        <v>-1.3247869559358587</v>
      </c>
      <c r="I537">
        <v>1</v>
      </c>
    </row>
    <row r="538" spans="5:9" x14ac:dyDescent="0.3">
      <c r="E538">
        <v>537</v>
      </c>
      <c r="H538">
        <v>-1.2498759388303391</v>
      </c>
      <c r="I538">
        <v>2</v>
      </c>
    </row>
    <row r="539" spans="5:9" x14ac:dyDescent="0.3">
      <c r="E539">
        <v>538</v>
      </c>
      <c r="H539">
        <v>-1.1732156880827178</v>
      </c>
      <c r="I539">
        <v>3</v>
      </c>
    </row>
    <row r="540" spans="5:9" x14ac:dyDescent="0.3">
      <c r="E540">
        <v>539</v>
      </c>
      <c r="H540">
        <v>-1.0949514408169121</v>
      </c>
      <c r="I540">
        <v>4</v>
      </c>
    </row>
    <row r="541" spans="5:9" x14ac:dyDescent="0.3">
      <c r="E541">
        <v>540</v>
      </c>
      <c r="H541">
        <v>-1.015230385261592</v>
      </c>
      <c r="I541">
        <v>5</v>
      </c>
    </row>
    <row r="542" spans="5:9" x14ac:dyDescent="0.3">
      <c r="E542">
        <v>541</v>
      </c>
      <c r="H542">
        <v>-0.93420139031321525</v>
      </c>
      <c r="I542">
        <v>1</v>
      </c>
    </row>
    <row r="543" spans="5:9" x14ac:dyDescent="0.3">
      <c r="E543">
        <v>542</v>
      </c>
      <c r="H543">
        <v>-0.85201473376210157</v>
      </c>
      <c r="I543">
        <v>2</v>
      </c>
    </row>
    <row r="544" spans="5:9" x14ac:dyDescent="0.3">
      <c r="E544">
        <v>543</v>
      </c>
      <c r="H544">
        <v>-0.76882182966732271</v>
      </c>
      <c r="I544">
        <v>3</v>
      </c>
    </row>
    <row r="545" spans="5:9" x14ac:dyDescent="0.3">
      <c r="E545">
        <v>544</v>
      </c>
      <c r="H545">
        <v>-0.68477495536487754</v>
      </c>
      <c r="I545">
        <v>4</v>
      </c>
    </row>
    <row r="546" spans="5:9" x14ac:dyDescent="0.3">
      <c r="E546">
        <v>545</v>
      </c>
      <c r="H546">
        <v>-0.60002697859117404</v>
      </c>
      <c r="I546">
        <v>5</v>
      </c>
    </row>
    <row r="547" spans="5:9" x14ac:dyDescent="0.3">
      <c r="E547">
        <v>546</v>
      </c>
      <c r="H547">
        <v>-0.51473108520094979</v>
      </c>
      <c r="I547">
        <v>1</v>
      </c>
    </row>
    <row r="548" spans="5:9" x14ac:dyDescent="0.3">
      <c r="E548">
        <v>547</v>
      </c>
      <c r="H548">
        <v>-0.42904050795466814</v>
      </c>
      <c r="I548">
        <v>2</v>
      </c>
    </row>
    <row r="549" spans="5:9" x14ac:dyDescent="0.3">
      <c r="E549">
        <v>548</v>
      </c>
      <c r="H549">
        <v>-0.34310825684592361</v>
      </c>
      <c r="I549">
        <v>3</v>
      </c>
    </row>
    <row r="550" spans="5:9" x14ac:dyDescent="0.3">
      <c r="E550">
        <v>549</v>
      </c>
      <c r="H550">
        <v>-0.25708685143362775</v>
      </c>
      <c r="I550">
        <v>4</v>
      </c>
    </row>
    <row r="551" spans="5:9" x14ac:dyDescent="0.3">
      <c r="E551">
        <v>550</v>
      </c>
      <c r="H551">
        <v>-0.17112805563760541</v>
      </c>
      <c r="I551">
        <v>5</v>
      </c>
    </row>
    <row r="552" spans="5:9" x14ac:dyDescent="0.3">
      <c r="E552">
        <v>551</v>
      </c>
      <c r="H552">
        <v>-8.5382615449160343E-2</v>
      </c>
      <c r="I552">
        <v>1</v>
      </c>
    </row>
    <row r="553" spans="5:9" x14ac:dyDescent="0.3">
      <c r="E553">
        <v>552</v>
      </c>
      <c r="H553">
        <v>-1.7071622338750767E-13</v>
      </c>
      <c r="I553">
        <v>2</v>
      </c>
    </row>
    <row r="554" spans="5:9" x14ac:dyDescent="0.3">
      <c r="E554">
        <v>553</v>
      </c>
      <c r="H554">
        <v>8.4871853574030751E-2</v>
      </c>
      <c r="I554">
        <v>3</v>
      </c>
    </row>
    <row r="555" spans="5:9" x14ac:dyDescent="0.3">
      <c r="E555">
        <v>554</v>
      </c>
      <c r="H555">
        <v>0.16908679105224236</v>
      </c>
      <c r="I555">
        <v>4</v>
      </c>
    </row>
    <row r="556" spans="5:9" x14ac:dyDescent="0.3">
      <c r="E556">
        <v>555</v>
      </c>
      <c r="H556">
        <v>0.25250068740945769</v>
      </c>
      <c r="I556">
        <v>5</v>
      </c>
    </row>
    <row r="557" spans="5:9" x14ac:dyDescent="0.3">
      <c r="E557">
        <v>556</v>
      </c>
      <c r="H557">
        <v>0.33497168805828909</v>
      </c>
      <c r="I557">
        <v>1</v>
      </c>
    </row>
    <row r="558" spans="5:9" x14ac:dyDescent="0.3">
      <c r="E558">
        <v>557</v>
      </c>
      <c r="H558">
        <v>0.4163604446556588</v>
      </c>
      <c r="I558">
        <v>2</v>
      </c>
    </row>
    <row r="559" spans="5:9" x14ac:dyDescent="0.3">
      <c r="E559">
        <v>558</v>
      </c>
      <c r="H559">
        <v>0.49653034509280625</v>
      </c>
      <c r="I559">
        <v>3</v>
      </c>
    </row>
    <row r="560" spans="5:9" x14ac:dyDescent="0.3">
      <c r="E560">
        <v>559</v>
      </c>
      <c r="H560">
        <v>0.57534773729897382</v>
      </c>
      <c r="I560">
        <v>4</v>
      </c>
    </row>
    <row r="561" spans="5:9" x14ac:dyDescent="0.3">
      <c r="E561">
        <v>560</v>
      </c>
      <c r="H561">
        <v>0.6526821465024375</v>
      </c>
      <c r="I561">
        <v>5</v>
      </c>
    </row>
    <row r="562" spans="5:9" x14ac:dyDescent="0.3">
      <c r="E562">
        <v>561</v>
      </c>
      <c r="H562">
        <v>0.72840648560596699</v>
      </c>
      <c r="I562">
        <v>1</v>
      </c>
    </row>
    <row r="563" spans="5:9" x14ac:dyDescent="0.3">
      <c r="E563">
        <v>562</v>
      </c>
      <c r="H563">
        <v>0.80239725834807207</v>
      </c>
      <c r="I563">
        <v>2</v>
      </c>
    </row>
    <row r="564" spans="5:9" x14ac:dyDescent="0.3">
      <c r="E564">
        <v>563</v>
      </c>
      <c r="H564">
        <v>0.87453475493605048</v>
      </c>
      <c r="I564">
        <v>3</v>
      </c>
    </row>
    <row r="565" spans="5:9" x14ac:dyDescent="0.3">
      <c r="E565">
        <v>564</v>
      </c>
      <c r="H565">
        <v>0.94470323985193461</v>
      </c>
      <c r="I565">
        <v>4</v>
      </c>
    </row>
    <row r="566" spans="5:9" x14ac:dyDescent="0.3">
      <c r="E566">
        <v>565</v>
      </c>
      <c r="H566">
        <v>1.012791131547955</v>
      </c>
      <c r="I566">
        <v>5</v>
      </c>
    </row>
    <row r="567" spans="5:9" x14ac:dyDescent="0.3">
      <c r="E567">
        <v>566</v>
      </c>
      <c r="H567">
        <v>1.0786911737641314</v>
      </c>
      <c r="I567">
        <v>1</v>
      </c>
    </row>
    <row r="568" spans="5:9" x14ac:dyDescent="0.3">
      <c r="E568">
        <v>567</v>
      </c>
      <c r="H568">
        <v>1.1423005982169419</v>
      </c>
      <c r="I568">
        <v>2</v>
      </c>
    </row>
    <row r="569" spans="5:9" x14ac:dyDescent="0.3">
      <c r="E569">
        <v>568</v>
      </c>
      <c r="H569">
        <v>1.2035212784246707</v>
      </c>
      <c r="I569">
        <v>3</v>
      </c>
    </row>
    <row r="570" spans="5:9" x14ac:dyDescent="0.3">
      <c r="E570">
        <v>569</v>
      </c>
      <c r="H570">
        <v>1.2622598744520031</v>
      </c>
      <c r="I570">
        <v>4</v>
      </c>
    </row>
    <row r="571" spans="5:9" x14ac:dyDescent="0.3">
      <c r="E571">
        <v>570</v>
      </c>
      <c r="H571">
        <v>1.3184279683737115</v>
      </c>
      <c r="I571">
        <v>5</v>
      </c>
    </row>
    <row r="572" spans="5:9" x14ac:dyDescent="0.3">
      <c r="E572">
        <v>571</v>
      </c>
      <c r="H572">
        <v>1.371942190274833</v>
      </c>
      <c r="I572">
        <v>1</v>
      </c>
    </row>
    <row r="573" spans="5:9" x14ac:dyDescent="0.3">
      <c r="E573">
        <v>572</v>
      </c>
      <c r="H573">
        <v>1.4227243346224314</v>
      </c>
      <c r="I573">
        <v>2</v>
      </c>
    </row>
    <row r="574" spans="5:9" x14ac:dyDescent="0.3">
      <c r="E574">
        <v>573</v>
      </c>
      <c r="H574">
        <v>1.4707014668618954</v>
      </c>
      <c r="I574">
        <v>3</v>
      </c>
    </row>
    <row r="575" spans="5:9" x14ac:dyDescent="0.3">
      <c r="E575">
        <v>574</v>
      </c>
      <c r="H575">
        <v>1.5158060201089285</v>
      </c>
      <c r="I575">
        <v>4</v>
      </c>
    </row>
    <row r="576" spans="5:9" x14ac:dyDescent="0.3">
      <c r="E576">
        <v>575</v>
      </c>
      <c r="H576">
        <v>1.5579758818264202</v>
      </c>
      <c r="I576">
        <v>5</v>
      </c>
    </row>
    <row r="577" spans="5:9" x14ac:dyDescent="0.3">
      <c r="E577">
        <v>576</v>
      </c>
      <c r="H577">
        <v>1.5971544703937921</v>
      </c>
      <c r="I577">
        <v>1</v>
      </c>
    </row>
    <row r="578" spans="5:9" x14ac:dyDescent="0.3">
      <c r="E578">
        <v>577</v>
      </c>
      <c r="H578">
        <v>1.6332908014945908</v>
      </c>
      <c r="I578">
        <v>2</v>
      </c>
    </row>
    <row r="579" spans="5:9" x14ac:dyDescent="0.3">
      <c r="E579">
        <v>578</v>
      </c>
      <c r="H579">
        <v>1.6663395442665907</v>
      </c>
      <c r="I579">
        <v>3</v>
      </c>
    </row>
    <row r="580" spans="5:9" x14ac:dyDescent="0.3">
      <c r="E580">
        <v>579</v>
      </c>
      <c r="H580">
        <v>1.6962610671769092</v>
      </c>
      <c r="I580">
        <v>4</v>
      </c>
    </row>
    <row r="581" spans="5:9" x14ac:dyDescent="0.3">
      <c r="E581">
        <v>580</v>
      </c>
      <c r="H581">
        <v>1.7230214736029168</v>
      </c>
      <c r="I581">
        <v>5</v>
      </c>
    </row>
    <row r="582" spans="5:9" x14ac:dyDescent="0.3">
      <c r="E582">
        <v>581</v>
      </c>
      <c r="H582">
        <v>1.7465926271180348</v>
      </c>
      <c r="I582">
        <v>1</v>
      </c>
    </row>
    <row r="583" spans="5:9" x14ac:dyDescent="0.3">
      <c r="E583">
        <v>582</v>
      </c>
      <c r="H583">
        <v>1.7669521664994867</v>
      </c>
      <c r="I583">
        <v>2</v>
      </c>
    </row>
    <row r="584" spans="5:9" x14ac:dyDescent="0.3">
      <c r="E584">
        <v>583</v>
      </c>
      <c r="H584">
        <v>1.7840835104931505</v>
      </c>
      <c r="I584">
        <v>3</v>
      </c>
    </row>
    <row r="585" spans="5:9" x14ac:dyDescent="0.3">
      <c r="E585">
        <v>584</v>
      </c>
      <c r="H585">
        <v>1.7979758523883684</v>
      </c>
      <c r="I585">
        <v>4</v>
      </c>
    </row>
    <row r="586" spans="5:9" x14ac:dyDescent="0.3">
      <c r="E586">
        <v>585</v>
      </c>
      <c r="H586">
        <v>1.8086241444732509</v>
      </c>
      <c r="I586">
        <v>5</v>
      </c>
    </row>
    <row r="587" spans="5:9" x14ac:dyDescent="0.3">
      <c r="E587">
        <v>586</v>
      </c>
      <c r="H587">
        <v>1.816029072458305</v>
      </c>
      <c r="I587">
        <v>1</v>
      </c>
    </row>
    <row r="588" spans="5:9" x14ac:dyDescent="0.3">
      <c r="E588">
        <v>587</v>
      </c>
      <c r="H588">
        <v>1.8201970199733768</v>
      </c>
      <c r="I588">
        <v>2</v>
      </c>
    </row>
    <row r="589" spans="5:9" x14ac:dyDescent="0.3">
      <c r="E589">
        <v>588</v>
      </c>
      <c r="H589">
        <v>1.8211400232597026</v>
      </c>
      <c r="I589">
        <v>3</v>
      </c>
    </row>
    <row r="590" spans="5:9" x14ac:dyDescent="0.3">
      <c r="E590">
        <v>589</v>
      </c>
      <c r="H590">
        <v>1.8188757161953775</v>
      </c>
      <c r="I590">
        <v>4</v>
      </c>
    </row>
    <row r="591" spans="5:9" x14ac:dyDescent="0.3">
      <c r="E591">
        <v>590</v>
      </c>
      <c r="H591">
        <v>1.8134272658087174</v>
      </c>
      <c r="I591">
        <v>5</v>
      </c>
    </row>
    <row r="592" spans="5:9" x14ac:dyDescent="0.3">
      <c r="E592">
        <v>591</v>
      </c>
      <c r="H592">
        <v>1.8048232984497805</v>
      </c>
      <c r="I592">
        <v>1</v>
      </c>
    </row>
    <row r="593" spans="5:9" x14ac:dyDescent="0.3">
      <c r="E593">
        <v>592</v>
      </c>
      <c r="H593">
        <v>1.7930978168057328</v>
      </c>
      <c r="I593">
        <v>2</v>
      </c>
    </row>
    <row r="594" spans="5:9" x14ac:dyDescent="0.3">
      <c r="E594">
        <v>593</v>
      </c>
      <c r="H594">
        <v>1.7782901079607205</v>
      </c>
      <c r="I594">
        <v>3</v>
      </c>
    </row>
    <row r="595" spans="5:9" x14ac:dyDescent="0.3">
      <c r="E595">
        <v>594</v>
      </c>
      <c r="H595">
        <v>1.760444642715455</v>
      </c>
      <c r="I595">
        <v>4</v>
      </c>
    </row>
    <row r="596" spans="5:9" x14ac:dyDescent="0.3">
      <c r="E596">
        <v>595</v>
      </c>
      <c r="H596">
        <v>1.7396109663958004</v>
      </c>
      <c r="I596">
        <v>5</v>
      </c>
    </row>
    <row r="597" spans="5:9" x14ac:dyDescent="0.3">
      <c r="E597">
        <v>596</v>
      </c>
      <c r="H597">
        <v>1.7158435813932411</v>
      </c>
      <c r="I597">
        <v>1</v>
      </c>
    </row>
    <row r="598" spans="5:9" x14ac:dyDescent="0.3">
      <c r="E598">
        <v>597</v>
      </c>
      <c r="H598">
        <v>1.6892018216931814</v>
      </c>
      <c r="I598">
        <v>2</v>
      </c>
    </row>
    <row r="599" spans="5:9" x14ac:dyDescent="0.3">
      <c r="E599">
        <v>598</v>
      </c>
      <c r="H599">
        <v>1.659749719659612</v>
      </c>
      <c r="I599">
        <v>3</v>
      </c>
    </row>
    <row r="600" spans="5:9" x14ac:dyDescent="0.3">
      <c r="E600">
        <v>599</v>
      </c>
      <c r="H600">
        <v>1.6275558653566446</v>
      </c>
      <c r="I600">
        <v>4</v>
      </c>
    </row>
    <row r="601" spans="5:9" x14ac:dyDescent="0.3">
      <c r="E601">
        <v>600</v>
      </c>
      <c r="H601">
        <v>1.592693258698902</v>
      </c>
      <c r="I601">
        <v>5</v>
      </c>
    </row>
    <row r="602" spans="5:9" x14ac:dyDescent="0.3">
      <c r="E602">
        <v>601</v>
      </c>
      <c r="H602">
        <v>1.5552391547335567</v>
      </c>
      <c r="I602">
        <v>1</v>
      </c>
    </row>
    <row r="603" spans="5:9" x14ac:dyDescent="0.3">
      <c r="E603">
        <v>602</v>
      </c>
      <c r="H603">
        <v>1.5152749023671566</v>
      </c>
      <c r="I603">
        <v>2</v>
      </c>
    </row>
    <row r="604" spans="5:9" x14ac:dyDescent="0.3">
      <c r="E604">
        <v>603</v>
      </c>
      <c r="H604">
        <v>1.4728857768599306</v>
      </c>
      <c r="I604">
        <v>3</v>
      </c>
    </row>
    <row r="605" spans="5:9" x14ac:dyDescent="0.3">
      <c r="E605">
        <v>604</v>
      </c>
      <c r="H605">
        <v>1.4281608064193785</v>
      </c>
      <c r="I605">
        <v>4</v>
      </c>
    </row>
    <row r="606" spans="5:9" x14ac:dyDescent="0.3">
      <c r="E606">
        <v>605</v>
      </c>
      <c r="H606">
        <v>1.3811925932332643</v>
      </c>
      <c r="I606">
        <v>5</v>
      </c>
    </row>
    <row r="607" spans="5:9" x14ac:dyDescent="0.3">
      <c r="E607">
        <v>606</v>
      </c>
      <c r="H607">
        <v>1.3320771292899607</v>
      </c>
      <c r="I607">
        <v>1</v>
      </c>
    </row>
    <row r="608" spans="5:9" x14ac:dyDescent="0.3">
      <c r="E608">
        <v>607</v>
      </c>
      <c r="H608">
        <v>1.2809136073410796</v>
      </c>
      <c r="I608">
        <v>2</v>
      </c>
    </row>
    <row r="609" spans="5:9" x14ac:dyDescent="0.3">
      <c r="E609">
        <v>608</v>
      </c>
      <c r="H609">
        <v>1.2278042273678</v>
      </c>
      <c r="I609">
        <v>3</v>
      </c>
    </row>
    <row r="610" spans="5:9" x14ac:dyDescent="0.3">
      <c r="E610">
        <v>609</v>
      </c>
      <c r="H610">
        <v>1.1728539989180671</v>
      </c>
      <c r="I610">
        <v>4</v>
      </c>
    </row>
    <row r="611" spans="5:9" x14ac:dyDescent="0.3">
      <c r="E611">
        <v>610</v>
      </c>
      <c r="H611">
        <v>1.1161705396867976</v>
      </c>
      <c r="I611">
        <v>5</v>
      </c>
    </row>
    <row r="612" spans="5:9" x14ac:dyDescent="0.3">
      <c r="E612">
        <v>611</v>
      </c>
      <c r="H612">
        <v>1.0578638707157426</v>
      </c>
      <c r="I612">
        <v>1</v>
      </c>
    </row>
    <row r="613" spans="5:9" x14ac:dyDescent="0.3">
      <c r="E613">
        <v>612</v>
      </c>
      <c r="H613">
        <v>0.99804620859322657</v>
      </c>
      <c r="I613">
        <v>2</v>
      </c>
    </row>
    <row r="614" spans="5:9" x14ac:dyDescent="0.3">
      <c r="E614">
        <v>613</v>
      </c>
      <c r="H614">
        <v>0.93683175503709271</v>
      </c>
      <c r="I614">
        <v>3</v>
      </c>
    </row>
    <row r="615" spans="5:9" x14ac:dyDescent="0.3">
      <c r="E615">
        <v>614</v>
      </c>
      <c r="H615">
        <v>0.87433648424635435</v>
      </c>
      <c r="I615">
        <v>4</v>
      </c>
    </row>
    <row r="616" spans="5:9" x14ac:dyDescent="0.3">
      <c r="E616">
        <v>615</v>
      </c>
      <c r="H616">
        <v>0.8106779284088157</v>
      </c>
      <c r="I616">
        <v>5</v>
      </c>
    </row>
    <row r="617" spans="5:9" x14ac:dyDescent="0.3">
      <c r="E617">
        <v>616</v>
      </c>
      <c r="H617">
        <v>0.74597496175276667</v>
      </c>
      <c r="I617">
        <v>1</v>
      </c>
    </row>
    <row r="618" spans="5:9" x14ac:dyDescent="0.3">
      <c r="E618">
        <v>617</v>
      </c>
      <c r="H618">
        <v>0.68034758353109481</v>
      </c>
      <c r="I618">
        <v>2</v>
      </c>
    </row>
    <row r="619" spans="5:9" x14ac:dyDescent="0.3">
      <c r="E619">
        <v>618</v>
      </c>
      <c r="H619">
        <v>0.61391670032572443</v>
      </c>
      <c r="I619">
        <v>3</v>
      </c>
    </row>
    <row r="620" spans="5:9" x14ac:dyDescent="0.3">
      <c r="E620">
        <v>619</v>
      </c>
      <c r="H620">
        <v>0.54680390805919199</v>
      </c>
      <c r="I620">
        <v>4</v>
      </c>
    </row>
    <row r="621" spans="5:9" x14ac:dyDescent="0.3">
      <c r="E621">
        <v>620</v>
      </c>
      <c r="H621">
        <v>0.47913127409834749</v>
      </c>
      <c r="I621">
        <v>5</v>
      </c>
    </row>
    <row r="622" spans="5:9" x14ac:dyDescent="0.3">
      <c r="E622">
        <v>621</v>
      </c>
      <c r="H622">
        <v>0.41102111983268058</v>
      </c>
      <c r="I622">
        <v>1</v>
      </c>
    </row>
    <row r="623" spans="5:9" x14ac:dyDescent="0.3">
      <c r="E623">
        <v>622</v>
      </c>
      <c r="H623">
        <v>0.34259580410667473</v>
      </c>
      <c r="I623">
        <v>2</v>
      </c>
    </row>
    <row r="624" spans="5:9" x14ac:dyDescent="0.3">
      <c r="E624">
        <v>623</v>
      </c>
      <c r="H624">
        <v>0.27397750788183889</v>
      </c>
      <c r="I624">
        <v>3</v>
      </c>
    </row>
    <row r="625" spans="5:9" x14ac:dyDescent="0.3">
      <c r="E625">
        <v>624</v>
      </c>
      <c r="H625">
        <v>0.20528802049963921</v>
      </c>
      <c r="I625">
        <v>4</v>
      </c>
    </row>
    <row r="626" spans="5:9" x14ac:dyDescent="0.3">
      <c r="E626">
        <v>625</v>
      </c>
      <c r="H626">
        <v>0.13664852791149568</v>
      </c>
      <c r="I626">
        <v>5</v>
      </c>
    </row>
    <row r="627" spans="5:9" x14ac:dyDescent="0.3">
      <c r="E627">
        <v>626</v>
      </c>
      <c r="H627">
        <v>6.817940323635982E-2</v>
      </c>
      <c r="I627">
        <v>1</v>
      </c>
    </row>
    <row r="628" spans="5:9" x14ac:dyDescent="0.3">
      <c r="E628">
        <v>627</v>
      </c>
      <c r="H628">
        <v>2.4609128677049127E-13</v>
      </c>
      <c r="I628">
        <v>2</v>
      </c>
    </row>
    <row r="629" spans="5:9" x14ac:dyDescent="0.3">
      <c r="E629">
        <v>628</v>
      </c>
      <c r="H629">
        <v>-6.7771551594931284E-2</v>
      </c>
      <c r="I629">
        <v>3</v>
      </c>
    </row>
    <row r="630" spans="5:9" x14ac:dyDescent="0.3">
      <c r="E630">
        <v>629</v>
      </c>
      <c r="H630">
        <v>-0.13501854503308539</v>
      </c>
      <c r="I630">
        <v>4</v>
      </c>
    </row>
    <row r="631" spans="5:9" x14ac:dyDescent="0.3">
      <c r="E631">
        <v>630</v>
      </c>
      <c r="H631">
        <v>-0.20162589414423662</v>
      </c>
      <c r="I631">
        <v>5</v>
      </c>
    </row>
    <row r="632" spans="5:9" x14ac:dyDescent="0.3">
      <c r="E632">
        <v>631</v>
      </c>
      <c r="H632">
        <v>-0.26748032573964492</v>
      </c>
      <c r="I632">
        <v>1</v>
      </c>
    </row>
    <row r="633" spans="5:9" x14ac:dyDescent="0.3">
      <c r="E633">
        <v>632</v>
      </c>
      <c r="H633">
        <v>-0.33247056790730534</v>
      </c>
      <c r="I633">
        <v>2</v>
      </c>
    </row>
    <row r="634" spans="5:9" x14ac:dyDescent="0.3">
      <c r="E634">
        <v>633</v>
      </c>
      <c r="H634">
        <v>-0.39648753366269385</v>
      </c>
      <c r="I634">
        <v>3</v>
      </c>
    </row>
    <row r="635" spans="5:9" x14ac:dyDescent="0.3">
      <c r="E635">
        <v>634</v>
      </c>
      <c r="H635">
        <v>-0.45942449965963916</v>
      </c>
      <c r="I635">
        <v>4</v>
      </c>
    </row>
    <row r="636" spans="5:9" x14ac:dyDescent="0.3">
      <c r="E636">
        <v>635</v>
      </c>
      <c r="H636">
        <v>-0.52117727967678673</v>
      </c>
      <c r="I636">
        <v>5</v>
      </c>
    </row>
    <row r="637" spans="5:9" x14ac:dyDescent="0.3">
      <c r="E637">
        <v>636</v>
      </c>
      <c r="H637">
        <v>-0.58164439260578937</v>
      </c>
      <c r="I637">
        <v>1</v>
      </c>
    </row>
    <row r="638" spans="5:9" x14ac:dyDescent="0.3">
      <c r="E638">
        <v>637</v>
      </c>
      <c r="H638">
        <v>-0.64072722467889665</v>
      </c>
      <c r="I638">
        <v>2</v>
      </c>
    </row>
    <row r="639" spans="5:9" x14ac:dyDescent="0.3">
      <c r="E639">
        <v>638</v>
      </c>
      <c r="H639">
        <v>-0.69833018568510175</v>
      </c>
      <c r="I639">
        <v>3</v>
      </c>
    </row>
    <row r="640" spans="5:9" x14ac:dyDescent="0.3">
      <c r="E640">
        <v>639</v>
      </c>
      <c r="H640">
        <v>-0.75436085893621529</v>
      </c>
      <c r="I640">
        <v>4</v>
      </c>
    </row>
    <row r="641" spans="5:9" x14ac:dyDescent="0.3">
      <c r="E641">
        <v>640</v>
      </c>
      <c r="H641">
        <v>-0.80873014475661975</v>
      </c>
      <c r="I641">
        <v>5</v>
      </c>
    </row>
    <row r="642" spans="5:9" x14ac:dyDescent="0.3">
      <c r="E642">
        <v>641</v>
      </c>
      <c r="H642">
        <v>-0.8613523972831626</v>
      </c>
      <c r="I642">
        <v>1</v>
      </c>
    </row>
    <row r="643" spans="5:9" x14ac:dyDescent="0.3">
      <c r="E643">
        <v>642</v>
      </c>
      <c r="H643">
        <v>-0.91214555437468636</v>
      </c>
      <c r="I643">
        <v>2</v>
      </c>
    </row>
    <row r="644" spans="5:9" x14ac:dyDescent="0.3">
      <c r="E644">
        <v>643</v>
      </c>
      <c r="H644">
        <v>-0.9610312604440423</v>
      </c>
      <c r="I644">
        <v>3</v>
      </c>
    </row>
    <row r="645" spans="5:9" x14ac:dyDescent="0.3">
      <c r="E645">
        <v>644</v>
      </c>
      <c r="H645">
        <v>-1.0079349820390273</v>
      </c>
      <c r="I645">
        <v>4</v>
      </c>
    </row>
    <row r="646" spans="5:9" x14ac:dyDescent="0.3">
      <c r="E646">
        <v>645</v>
      </c>
      <c r="H646">
        <v>-1.0527861160123109</v>
      </c>
      <c r="I646">
        <v>5</v>
      </c>
    </row>
    <row r="647" spans="5:9" x14ac:dyDescent="0.3">
      <c r="E647">
        <v>646</v>
      </c>
      <c r="H647">
        <v>-1.0955180901346522</v>
      </c>
      <c r="I647">
        <v>1</v>
      </c>
    </row>
    <row r="648" spans="5:9" x14ac:dyDescent="0.3">
      <c r="E648">
        <v>647</v>
      </c>
      <c r="H648">
        <v>-1.1360684560195908</v>
      </c>
      <c r="I648">
        <v>2</v>
      </c>
    </row>
    <row r="649" spans="5:9" x14ac:dyDescent="0.3">
      <c r="E649">
        <v>648</v>
      </c>
      <c r="H649">
        <v>-1.1743789742423718</v>
      </c>
      <c r="I649">
        <v>3</v>
      </c>
    </row>
    <row r="650" spans="5:9" x14ac:dyDescent="0.3">
      <c r="E650">
        <v>649</v>
      </c>
      <c r="H650">
        <v>-1.2103956915500236</v>
      </c>
      <c r="I650">
        <v>4</v>
      </c>
    </row>
    <row r="651" spans="5:9" x14ac:dyDescent="0.3">
      <c r="E651">
        <v>650</v>
      </c>
      <c r="H651">
        <v>-1.2440690100742879</v>
      </c>
      <c r="I651">
        <v>5</v>
      </c>
    </row>
    <row r="652" spans="5:9" x14ac:dyDescent="0.3">
      <c r="E652">
        <v>651</v>
      </c>
      <c r="H652">
        <v>-1.2753537484734379</v>
      </c>
      <c r="I652">
        <v>1</v>
      </c>
    </row>
    <row r="653" spans="5:9" x14ac:dyDescent="0.3">
      <c r="E653">
        <v>652</v>
      </c>
      <c r="H653">
        <v>-1.3042091949438894</v>
      </c>
      <c r="I653">
        <v>2</v>
      </c>
    </row>
    <row r="654" spans="5:9" x14ac:dyDescent="0.3">
      <c r="E654">
        <v>653</v>
      </c>
      <c r="H654">
        <v>-1.330599152056942</v>
      </c>
      <c r="I654">
        <v>3</v>
      </c>
    </row>
    <row r="655" spans="5:9" x14ac:dyDescent="0.3">
      <c r="E655">
        <v>654</v>
      </c>
      <c r="H655">
        <v>-1.3544919733908154</v>
      </c>
      <c r="I655">
        <v>4</v>
      </c>
    </row>
    <row r="656" spans="5:9" x14ac:dyDescent="0.3">
      <c r="E656">
        <v>655</v>
      </c>
      <c r="H656">
        <v>-1.3758605919425804</v>
      </c>
      <c r="I656">
        <v>5</v>
      </c>
    </row>
    <row r="657" spans="5:9" x14ac:dyDescent="0.3">
      <c r="E657">
        <v>656</v>
      </c>
      <c r="H657">
        <v>-1.394682540319272</v>
      </c>
      <c r="I657">
        <v>1</v>
      </c>
    </row>
    <row r="658" spans="5:9" x14ac:dyDescent="0.3">
      <c r="E658">
        <v>657</v>
      </c>
      <c r="H658">
        <v>-1.4109399627218357</v>
      </c>
      <c r="I658">
        <v>2</v>
      </c>
    </row>
    <row r="659" spans="5:9" x14ac:dyDescent="0.3">
      <c r="E659">
        <v>658</v>
      </c>
      <c r="H659">
        <v>-1.4246196187499265</v>
      </c>
      <c r="I659">
        <v>3</v>
      </c>
    </row>
    <row r="660" spans="5:9" x14ac:dyDescent="0.3">
      <c r="E660">
        <v>659</v>
      </c>
      <c r="H660">
        <v>-1.435712879069813</v>
      </c>
      <c r="I660">
        <v>4</v>
      </c>
    </row>
    <row r="661" spans="5:9" x14ac:dyDescent="0.3">
      <c r="E661">
        <v>660</v>
      </c>
      <c r="H661">
        <v>-1.4442157130016824</v>
      </c>
      <c r="I661">
        <v>5</v>
      </c>
    </row>
    <row r="662" spans="5:9" x14ac:dyDescent="0.3">
      <c r="E662">
        <v>661</v>
      </c>
      <c r="H662">
        <v>-1.4501286680964971</v>
      </c>
      <c r="I662">
        <v>1</v>
      </c>
    </row>
    <row r="663" spans="5:9" x14ac:dyDescent="0.3">
      <c r="E663">
        <v>662</v>
      </c>
      <c r="H663">
        <v>-1.4534568417862239</v>
      </c>
      <c r="I663">
        <v>2</v>
      </c>
    </row>
    <row r="664" spans="5:9" x14ac:dyDescent="0.3">
      <c r="E664">
        <v>663</v>
      </c>
      <c r="H664">
        <v>-1.4542098452047023</v>
      </c>
      <c r="I664">
        <v>3</v>
      </c>
    </row>
    <row r="665" spans="5:9" x14ac:dyDescent="0.3">
      <c r="E665">
        <v>664</v>
      </c>
      <c r="H665">
        <v>-1.4524017592895915</v>
      </c>
      <c r="I665">
        <v>4</v>
      </c>
    </row>
    <row r="666" spans="5:9" x14ac:dyDescent="0.3">
      <c r="E666">
        <v>665</v>
      </c>
      <c r="H666">
        <v>-1.4480510832887421</v>
      </c>
      <c r="I666">
        <v>5</v>
      </c>
    </row>
    <row r="667" spans="5:9" x14ac:dyDescent="0.3">
      <c r="E667">
        <v>666</v>
      </c>
      <c r="H667">
        <v>-1.4411806758069581</v>
      </c>
      <c r="I667">
        <v>1</v>
      </c>
    </row>
    <row r="668" spans="5:9" x14ac:dyDescent="0.3">
      <c r="E668">
        <v>667</v>
      </c>
      <c r="H668">
        <v>-1.431817688541424</v>
      </c>
      <c r="I668">
        <v>2</v>
      </c>
    </row>
    <row r="669" spans="5:9" x14ac:dyDescent="0.3">
      <c r="E669">
        <v>668</v>
      </c>
      <c r="H669">
        <v>-1.4199934928660189</v>
      </c>
      <c r="I669">
        <v>3</v>
      </c>
    </row>
    <row r="670" spans="5:9" x14ac:dyDescent="0.3">
      <c r="E670">
        <v>669</v>
      </c>
      <c r="H670">
        <v>-1.4057435994363721</v>
      </c>
      <c r="I670">
        <v>4</v>
      </c>
    </row>
    <row r="671" spans="5:9" x14ac:dyDescent="0.3">
      <c r="E671">
        <v>670</v>
      </c>
      <c r="H671">
        <v>-1.3891075709987484</v>
      </c>
      <c r="I671">
        <v>5</v>
      </c>
    </row>
    <row r="672" spans="5:9" x14ac:dyDescent="0.3">
      <c r="E672">
        <v>671</v>
      </c>
      <c r="H672">
        <v>-1.3701289285967098</v>
      </c>
      <c r="I672">
        <v>1</v>
      </c>
    </row>
    <row r="673" spans="5:9" x14ac:dyDescent="0.3">
      <c r="E673">
        <v>672</v>
      </c>
      <c r="H673">
        <v>-1.3488550513799251</v>
      </c>
      <c r="I673">
        <v>2</v>
      </c>
    </row>
    <row r="674" spans="5:9" x14ac:dyDescent="0.3">
      <c r="E674">
        <v>673</v>
      </c>
      <c r="H674">
        <v>-1.3253370702295679</v>
      </c>
      <c r="I674">
        <v>3</v>
      </c>
    </row>
    <row r="675" spans="5:9" x14ac:dyDescent="0.3">
      <c r="E675">
        <v>674</v>
      </c>
      <c r="H675">
        <v>-1.2996297554242757</v>
      </c>
      <c r="I675">
        <v>4</v>
      </c>
    </row>
    <row r="676" spans="5:9" x14ac:dyDescent="0.3">
      <c r="E676">
        <v>675</v>
      </c>
      <c r="H676">
        <v>-1.2717913985798428</v>
      </c>
      <c r="I676">
        <v>5</v>
      </c>
    </row>
    <row r="677" spans="5:9" x14ac:dyDescent="0.3">
      <c r="E677">
        <v>676</v>
      </c>
      <c r="H677">
        <v>-1.2418836891044165</v>
      </c>
      <c r="I677">
        <v>1</v>
      </c>
    </row>
    <row r="678" spans="5:9" x14ac:dyDescent="0.3">
      <c r="E678">
        <v>677</v>
      </c>
      <c r="H678">
        <v>-1.2099715854192574</v>
      </c>
      <c r="I678">
        <v>2</v>
      </c>
    </row>
    <row r="679" spans="5:9" x14ac:dyDescent="0.3">
      <c r="E679">
        <v>678</v>
      </c>
      <c r="H679">
        <v>-1.1761231812027138</v>
      </c>
      <c r="I679">
        <v>3</v>
      </c>
    </row>
    <row r="680" spans="5:9" x14ac:dyDescent="0.3">
      <c r="E680">
        <v>679</v>
      </c>
      <c r="H680">
        <v>-1.1404095669224024</v>
      </c>
      <c r="I680">
        <v>4</v>
      </c>
    </row>
    <row r="681" spans="5:9" x14ac:dyDescent="0.3">
      <c r="E681">
        <v>680</v>
      </c>
      <c r="H681">
        <v>-1.1029046869271435</v>
      </c>
      <c r="I681">
        <v>5</v>
      </c>
    </row>
    <row r="682" spans="5:9" x14ac:dyDescent="0.3">
      <c r="E682">
        <v>681</v>
      </c>
      <c r="H682">
        <v>-1.063685192376528</v>
      </c>
      <c r="I682">
        <v>1</v>
      </c>
    </row>
    <row r="683" spans="5:9" x14ac:dyDescent="0.3">
      <c r="E683">
        <v>682</v>
      </c>
      <c r="H683">
        <v>-1.0228302902914976</v>
      </c>
      <c r="I683">
        <v>2</v>
      </c>
    </row>
    <row r="684" spans="5:9" x14ac:dyDescent="0.3">
      <c r="E684">
        <v>683</v>
      </c>
      <c r="H684">
        <v>-0.98042158901458187</v>
      </c>
      <c r="I684">
        <v>3</v>
      </c>
    </row>
    <row r="685" spans="5:9" x14ac:dyDescent="0.3">
      <c r="E685">
        <v>684</v>
      </c>
      <c r="H685">
        <v>-0.93654294037293784</v>
      </c>
      <c r="I685">
        <v>4</v>
      </c>
    </row>
    <row r="686" spans="5:9" x14ac:dyDescent="0.3">
      <c r="E686">
        <v>685</v>
      </c>
      <c r="H686">
        <v>-0.89128027884138705</v>
      </c>
      <c r="I686">
        <v>5</v>
      </c>
    </row>
    <row r="687" spans="5:9" x14ac:dyDescent="0.3">
      <c r="E687">
        <v>686</v>
      </c>
      <c r="H687">
        <v>-0.84472145800616738</v>
      </c>
      <c r="I687">
        <v>1</v>
      </c>
    </row>
    <row r="688" spans="5:9" x14ac:dyDescent="0.3">
      <c r="E688">
        <v>687</v>
      </c>
      <c r="H688">
        <v>-0.79695608463307166</v>
      </c>
      <c r="I688">
        <v>2</v>
      </c>
    </row>
    <row r="689" spans="5:9" x14ac:dyDescent="0.3">
      <c r="E689">
        <v>688</v>
      </c>
      <c r="H689">
        <v>-0.74807535064600561</v>
      </c>
      <c r="I689">
        <v>3</v>
      </c>
    </row>
    <row r="690" spans="5:9" x14ac:dyDescent="0.3">
      <c r="E690">
        <v>689</v>
      </c>
      <c r="H690">
        <v>-0.69817186332384362</v>
      </c>
      <c r="I690">
        <v>4</v>
      </c>
    </row>
    <row r="691" spans="5:9" x14ac:dyDescent="0.3">
      <c r="E691">
        <v>690</v>
      </c>
      <c r="H691">
        <v>-0.6473394740247731</v>
      </c>
      <c r="I691">
        <v>5</v>
      </c>
    </row>
    <row r="692" spans="5:9" x14ac:dyDescent="0.3">
      <c r="E692">
        <v>691</v>
      </c>
      <c r="H692">
        <v>-0.59567310574807197</v>
      </c>
      <c r="I692">
        <v>1</v>
      </c>
    </row>
    <row r="693" spans="5:9" x14ac:dyDescent="0.3">
      <c r="E693">
        <v>692</v>
      </c>
      <c r="H693">
        <v>-0.54326857984340982</v>
      </c>
      <c r="I693">
        <v>2</v>
      </c>
    </row>
    <row r="694" spans="5:9" x14ac:dyDescent="0.3">
      <c r="E694">
        <v>693</v>
      </c>
      <c r="H694">
        <v>-0.49022244217741262</v>
      </c>
      <c r="I694">
        <v>3</v>
      </c>
    </row>
    <row r="695" spans="5:9" x14ac:dyDescent="0.3">
      <c r="E695">
        <v>694</v>
      </c>
      <c r="H695">
        <v>-0.43663178906636063</v>
      </c>
      <c r="I695">
        <v>4</v>
      </c>
    </row>
    <row r="696" spans="5:9" x14ac:dyDescent="0.3">
      <c r="E696">
        <v>695</v>
      </c>
      <c r="H696">
        <v>-0.38259409328246041</v>
      </c>
      <c r="I696">
        <v>5</v>
      </c>
    </row>
    <row r="697" spans="5:9" x14ac:dyDescent="0.3">
      <c r="E697">
        <v>696</v>
      </c>
      <c r="H697">
        <v>-0.32820703043912031</v>
      </c>
      <c r="I697">
        <v>1</v>
      </c>
    </row>
    <row r="698" spans="5:9" x14ac:dyDescent="0.3">
      <c r="E698">
        <v>697</v>
      </c>
      <c r="H698">
        <v>-0.27356830605817389</v>
      </c>
      <c r="I698">
        <v>2</v>
      </c>
    </row>
    <row r="699" spans="5:9" x14ac:dyDescent="0.3">
      <c r="E699">
        <v>698</v>
      </c>
      <c r="H699">
        <v>-0.21877548361900956</v>
      </c>
      <c r="I699">
        <v>3</v>
      </c>
    </row>
    <row r="700" spans="5:9" x14ac:dyDescent="0.3">
      <c r="E700">
        <v>699</v>
      </c>
      <c r="H700">
        <v>-0.16392581388605562</v>
      </c>
      <c r="I700">
        <v>4</v>
      </c>
    </row>
    <row r="701" spans="5:9" x14ac:dyDescent="0.3">
      <c r="E701">
        <v>700</v>
      </c>
      <c r="H701">
        <v>-0.10911606580700881</v>
      </c>
      <c r="I701">
        <v>5</v>
      </c>
    </row>
    <row r="702" spans="5:9" x14ac:dyDescent="0.3">
      <c r="E702">
        <v>701</v>
      </c>
      <c r="H702">
        <v>-5.4442359269652359E-2</v>
      </c>
      <c r="I702">
        <v>1</v>
      </c>
    </row>
    <row r="703" spans="5:9" x14ac:dyDescent="0.3">
      <c r="E703">
        <v>702</v>
      </c>
      <c r="H703">
        <v>-2.8185978154254769E-13</v>
      </c>
      <c r="I703">
        <v>2</v>
      </c>
    </row>
    <row r="704" spans="5:9" x14ac:dyDescent="0.3">
      <c r="E704">
        <v>703</v>
      </c>
      <c r="H704">
        <v>5.4116683118955788E-2</v>
      </c>
      <c r="I704">
        <v>3</v>
      </c>
    </row>
    <row r="705" spans="5:9" x14ac:dyDescent="0.3">
      <c r="E705">
        <v>704</v>
      </c>
      <c r="H705">
        <v>0.10781449804212796</v>
      </c>
      <c r="I705">
        <v>4</v>
      </c>
    </row>
    <row r="706" spans="5:9" x14ac:dyDescent="0.3">
      <c r="E706">
        <v>705</v>
      </c>
      <c r="H706">
        <v>0.16100154659595339</v>
      </c>
      <c r="I706">
        <v>5</v>
      </c>
    </row>
    <row r="707" spans="5:9" x14ac:dyDescent="0.3">
      <c r="E707">
        <v>706</v>
      </c>
      <c r="H707">
        <v>0.21358737830206556</v>
      </c>
      <c r="I707">
        <v>1</v>
      </c>
    </row>
    <row r="708" spans="5:9" x14ac:dyDescent="0.3">
      <c r="E708">
        <v>707</v>
      </c>
      <c r="H708">
        <v>0.26548314073404755</v>
      </c>
      <c r="I708">
        <v>2</v>
      </c>
    </row>
    <row r="709" spans="5:9" x14ac:dyDescent="0.3">
      <c r="E709">
        <v>708</v>
      </c>
      <c r="H709">
        <v>0.31660172616548576</v>
      </c>
      <c r="I709">
        <v>3</v>
      </c>
    </row>
    <row r="710" spans="5:9" x14ac:dyDescent="0.3">
      <c r="E710">
        <v>709</v>
      </c>
      <c r="H710">
        <v>0.36685791427355763</v>
      </c>
      <c r="I710">
        <v>4</v>
      </c>
    </row>
    <row r="711" spans="5:9" x14ac:dyDescent="0.3">
      <c r="E711">
        <v>710</v>
      </c>
      <c r="H711">
        <v>0.41616851067072735</v>
      </c>
      <c r="I711">
        <v>5</v>
      </c>
    </row>
    <row r="712" spans="5:9" x14ac:dyDescent="0.3">
      <c r="E712">
        <v>711</v>
      </c>
      <c r="H712">
        <v>0.46445248104609232</v>
      </c>
      <c r="I712">
        <v>1</v>
      </c>
    </row>
    <row r="713" spans="5:9" x14ac:dyDescent="0.3">
      <c r="E713">
        <v>712</v>
      </c>
      <c r="H713">
        <v>0.51163108070671104</v>
      </c>
      <c r="I713">
        <v>2</v>
      </c>
    </row>
    <row r="714" spans="5:9" x14ac:dyDescent="0.3">
      <c r="E714">
        <v>713</v>
      </c>
      <c r="H714">
        <v>0.55762797931873165</v>
      </c>
      <c r="I714">
        <v>3</v>
      </c>
    </row>
    <row r="715" spans="5:9" x14ac:dyDescent="0.3">
      <c r="E715">
        <v>714</v>
      </c>
      <c r="H715">
        <v>0.60236938065775136</v>
      </c>
      <c r="I715">
        <v>4</v>
      </c>
    </row>
    <row r="716" spans="5:9" x14ac:dyDescent="0.3">
      <c r="E716">
        <v>715</v>
      </c>
      <c r="H716">
        <v>0.64578413718771066</v>
      </c>
      <c r="I716">
        <v>5</v>
      </c>
    </row>
    <row r="717" spans="5:9" x14ac:dyDescent="0.3">
      <c r="E717">
        <v>716</v>
      </c>
      <c r="H717">
        <v>0.68780385929781251</v>
      </c>
      <c r="I717">
        <v>1</v>
      </c>
    </row>
    <row r="718" spans="5:9" x14ac:dyDescent="0.3">
      <c r="E718">
        <v>717</v>
      </c>
      <c r="H718">
        <v>0.72836301903738931</v>
      </c>
      <c r="I718">
        <v>2</v>
      </c>
    </row>
    <row r="719" spans="5:9" x14ac:dyDescent="0.3">
      <c r="E719">
        <v>718</v>
      </c>
      <c r="H719">
        <v>0.76739904819927618</v>
      </c>
      <c r="I719">
        <v>3</v>
      </c>
    </row>
    <row r="720" spans="5:9" x14ac:dyDescent="0.3">
      <c r="E720">
        <v>719</v>
      </c>
      <c r="H720">
        <v>0.80485243061304534</v>
      </c>
      <c r="I720">
        <v>4</v>
      </c>
    </row>
    <row r="721" spans="5:9" x14ac:dyDescent="0.3">
      <c r="E721">
        <v>720</v>
      </c>
      <c r="H721">
        <v>0.84066678852046806</v>
      </c>
      <c r="I721">
        <v>5</v>
      </c>
    </row>
    <row r="722" spans="5:9" x14ac:dyDescent="0.3">
      <c r="E722">
        <v>721</v>
      </c>
      <c r="H722">
        <v>0.87478896291676578</v>
      </c>
      <c r="I722">
        <v>1</v>
      </c>
    </row>
    <row r="723" spans="5:9" x14ac:dyDescent="0.3">
      <c r="E723">
        <v>722</v>
      </c>
      <c r="H723">
        <v>0.90716908775251925</v>
      </c>
      <c r="I723">
        <v>2</v>
      </c>
    </row>
    <row r="724" spans="5:9" x14ac:dyDescent="0.3">
      <c r="E724">
        <v>723</v>
      </c>
      <c r="H724">
        <v>0.93776065790248642</v>
      </c>
      <c r="I724">
        <v>3</v>
      </c>
    </row>
    <row r="725" spans="5:9" x14ac:dyDescent="0.3">
      <c r="E725">
        <v>724</v>
      </c>
      <c r="H725">
        <v>0.96652059081912389</v>
      </c>
      <c r="I725">
        <v>4</v>
      </c>
    </row>
    <row r="726" spans="5:9" x14ac:dyDescent="0.3">
      <c r="E726">
        <v>725</v>
      </c>
      <c r="H726">
        <v>0.99340928180020249</v>
      </c>
      <c r="I726">
        <v>5</v>
      </c>
    </row>
    <row r="727" spans="5:9" x14ac:dyDescent="0.3">
      <c r="E727">
        <v>726</v>
      </c>
      <c r="H727">
        <v>1.0183906528115705</v>
      </c>
      <c r="I727">
        <v>1</v>
      </c>
    </row>
    <row r="728" spans="5:9" x14ac:dyDescent="0.3">
      <c r="E728">
        <v>727</v>
      </c>
      <c r="H728">
        <v>1.0414321948177701</v>
      </c>
      <c r="I728">
        <v>2</v>
      </c>
    </row>
    <row r="729" spans="5:9" x14ac:dyDescent="0.3">
      <c r="E729">
        <v>728</v>
      </c>
      <c r="H729">
        <v>1.0625050035849122</v>
      </c>
      <c r="I729">
        <v>3</v>
      </c>
    </row>
    <row r="730" spans="5:9" x14ac:dyDescent="0.3">
      <c r="E730">
        <v>729</v>
      </c>
      <c r="H730">
        <v>1.0815838089319314</v>
      </c>
      <c r="I730">
        <v>4</v>
      </c>
    </row>
    <row r="731" spans="5:9" x14ac:dyDescent="0.3">
      <c r="E731">
        <v>730</v>
      </c>
      <c r="H731">
        <v>1.0986469974180015</v>
      </c>
      <c r="I731">
        <v>5</v>
      </c>
    </row>
    <row r="732" spans="5:9" x14ac:dyDescent="0.3">
      <c r="E732">
        <v>731</v>
      </c>
      <c r="H732">
        <v>1.1136766284654447</v>
      </c>
      <c r="I732">
        <v>1</v>
      </c>
    </row>
    <row r="733" spans="5:9" x14ac:dyDescent="0.3">
      <c r="E733">
        <v>732</v>
      </c>
      <c r="H733">
        <v>1.1266584439291185</v>
      </c>
      <c r="I733">
        <v>2</v>
      </c>
    </row>
    <row r="734" spans="5:9" x14ac:dyDescent="0.3">
      <c r="E734">
        <v>733</v>
      </c>
      <c r="H734">
        <v>1.1375818711346006</v>
      </c>
      <c r="I734">
        <v>3</v>
      </c>
    </row>
    <row r="735" spans="5:9" x14ac:dyDescent="0.3">
      <c r="E735">
        <v>734</v>
      </c>
      <c r="H735">
        <v>1.1464400194189532</v>
      </c>
      <c r="I735">
        <v>4</v>
      </c>
    </row>
    <row r="736" spans="5:9" x14ac:dyDescent="0.3">
      <c r="E736">
        <v>735</v>
      </c>
      <c r="H736">
        <v>1.1532296702189717</v>
      </c>
      <c r="I736">
        <v>5</v>
      </c>
    </row>
    <row r="737" spans="5:9" x14ac:dyDescent="0.3">
      <c r="E737">
        <v>736</v>
      </c>
      <c r="H737">
        <v>1.1579512607629803</v>
      </c>
      <c r="I737">
        <v>1</v>
      </c>
    </row>
    <row r="738" spans="5:9" x14ac:dyDescent="0.3">
      <c r="E738">
        <v>737</v>
      </c>
      <c r="H738">
        <v>1.160608861433079</v>
      </c>
      <c r="I738">
        <v>2</v>
      </c>
    </row>
    <row r="739" spans="5:9" x14ac:dyDescent="0.3">
      <c r="E739">
        <v>738</v>
      </c>
      <c r="H739">
        <v>1.1612101468755185</v>
      </c>
      <c r="I739">
        <v>3</v>
      </c>
    </row>
    <row r="740" spans="5:9" x14ac:dyDescent="0.3">
      <c r="E740">
        <v>739</v>
      </c>
      <c r="H740">
        <v>1.1597663609473954</v>
      </c>
      <c r="I740">
        <v>4</v>
      </c>
    </row>
    <row r="741" spans="5:9" x14ac:dyDescent="0.3">
      <c r="E741">
        <v>740</v>
      </c>
      <c r="H741">
        <v>1.1562922755981531</v>
      </c>
      <c r="I741">
        <v>5</v>
      </c>
    </row>
    <row r="742" spans="5:9" x14ac:dyDescent="0.3">
      <c r="E742">
        <v>741</v>
      </c>
      <c r="H742">
        <v>1.1508061437944661</v>
      </c>
      <c r="I742">
        <v>1</v>
      </c>
    </row>
    <row r="743" spans="5:9" x14ac:dyDescent="0.3">
      <c r="E743">
        <v>742</v>
      </c>
      <c r="H743">
        <v>1.1433296466069029</v>
      </c>
      <c r="I743">
        <v>2</v>
      </c>
    </row>
    <row r="744" spans="5:9" x14ac:dyDescent="0.3">
      <c r="E744">
        <v>743</v>
      </c>
      <c r="H744">
        <v>1.1338878345863106</v>
      </c>
      <c r="I744">
        <v>3</v>
      </c>
    </row>
    <row r="745" spans="5:9" x14ac:dyDescent="0.3">
      <c r="E745">
        <v>744</v>
      </c>
      <c r="H745">
        <v>1.1225090635671482</v>
      </c>
      <c r="I745">
        <v>4</v>
      </c>
    </row>
    <row r="746" spans="5:9" x14ac:dyDescent="0.3">
      <c r="E746">
        <v>745</v>
      </c>
      <c r="H746">
        <v>1.1092249250439663</v>
      </c>
      <c r="I746">
        <v>5</v>
      </c>
    </row>
    <row r="747" spans="5:9" x14ac:dyDescent="0.3">
      <c r="E747">
        <v>746</v>
      </c>
      <c r="H747">
        <v>1.0940701712759062</v>
      </c>
      <c r="I747">
        <v>1</v>
      </c>
    </row>
    <row r="748" spans="5:9" x14ac:dyDescent="0.3">
      <c r="E748">
        <v>747</v>
      </c>
      <c r="H748">
        <v>1.0770826352824119</v>
      </c>
      <c r="I748">
        <v>2</v>
      </c>
    </row>
    <row r="749" spans="5:9" x14ac:dyDescent="0.3">
      <c r="E749">
        <v>748</v>
      </c>
      <c r="H749">
        <v>1.0583031459013774</v>
      </c>
      <c r="I749">
        <v>3</v>
      </c>
    </row>
    <row r="750" spans="5:9" x14ac:dyDescent="0.3">
      <c r="E750">
        <v>749</v>
      </c>
      <c r="H750">
        <v>1.0377754380886013</v>
      </c>
      <c r="I750">
        <v>4</v>
      </c>
    </row>
    <row r="751" spans="5:9" x14ac:dyDescent="0.3">
      <c r="E751">
        <v>750</v>
      </c>
      <c r="H751">
        <v>1.0155460586447114</v>
      </c>
      <c r="I751">
        <v>5</v>
      </c>
    </row>
    <row r="752" spans="5:9" x14ac:dyDescent="0.3">
      <c r="E752">
        <v>751</v>
      </c>
      <c r="H752">
        <v>0.99166426756264414</v>
      </c>
      <c r="I752">
        <v>1</v>
      </c>
    </row>
    <row r="753" spans="5:9" x14ac:dyDescent="0.3">
      <c r="E753">
        <v>752</v>
      </c>
      <c r="H753">
        <v>0.96618193519531648</v>
      </c>
      <c r="I753">
        <v>2</v>
      </c>
    </row>
    <row r="754" spans="5:9" x14ac:dyDescent="0.3">
      <c r="E754">
        <v>753</v>
      </c>
      <c r="H754">
        <v>0</v>
      </c>
      <c r="I754">
        <v>3</v>
      </c>
    </row>
    <row r="755" spans="5:9" x14ac:dyDescent="0.3">
      <c r="E755">
        <v>754</v>
      </c>
      <c r="H755">
        <v>0</v>
      </c>
      <c r="I755">
        <v>4</v>
      </c>
    </row>
    <row r="756" spans="5:9" x14ac:dyDescent="0.3">
      <c r="E756">
        <v>755</v>
      </c>
      <c r="H756">
        <v>0</v>
      </c>
      <c r="I756">
        <v>5</v>
      </c>
    </row>
    <row r="757" spans="5:9" x14ac:dyDescent="0.3">
      <c r="E757">
        <v>756</v>
      </c>
      <c r="H757">
        <v>0</v>
      </c>
      <c r="I757">
        <v>1</v>
      </c>
    </row>
    <row r="758" spans="5:9" x14ac:dyDescent="0.3">
      <c r="E758">
        <v>757</v>
      </c>
      <c r="H758">
        <v>0</v>
      </c>
      <c r="I758">
        <v>2</v>
      </c>
    </row>
    <row r="759" spans="5:9" x14ac:dyDescent="0.3">
      <c r="E759">
        <v>758</v>
      </c>
      <c r="H759">
        <v>0</v>
      </c>
      <c r="I759">
        <v>3</v>
      </c>
    </row>
    <row r="760" spans="5:9" x14ac:dyDescent="0.3">
      <c r="E760">
        <v>759</v>
      </c>
      <c r="H760">
        <v>0</v>
      </c>
      <c r="I760">
        <v>4</v>
      </c>
    </row>
    <row r="761" spans="5:9" x14ac:dyDescent="0.3">
      <c r="E761">
        <v>760</v>
      </c>
      <c r="H761">
        <v>0</v>
      </c>
      <c r="I761">
        <v>5</v>
      </c>
    </row>
    <row r="762" spans="5:9" x14ac:dyDescent="0.3">
      <c r="E762">
        <v>761</v>
      </c>
      <c r="H762">
        <v>0</v>
      </c>
      <c r="I762">
        <v>1</v>
      </c>
    </row>
    <row r="763" spans="5:9" x14ac:dyDescent="0.3">
      <c r="E763">
        <v>762</v>
      </c>
      <c r="H763">
        <v>0</v>
      </c>
      <c r="I763">
        <v>2</v>
      </c>
    </row>
    <row r="764" spans="5:9" x14ac:dyDescent="0.3">
      <c r="E764">
        <v>763</v>
      </c>
      <c r="H764">
        <v>0</v>
      </c>
      <c r="I764">
        <v>3</v>
      </c>
    </row>
    <row r="765" spans="5:9" x14ac:dyDescent="0.3">
      <c r="E765">
        <v>764</v>
      </c>
      <c r="H765">
        <v>0</v>
      </c>
      <c r="I765">
        <v>4</v>
      </c>
    </row>
    <row r="766" spans="5:9" x14ac:dyDescent="0.3">
      <c r="E766">
        <v>765</v>
      </c>
      <c r="H766">
        <v>0</v>
      </c>
      <c r="I766">
        <v>5</v>
      </c>
    </row>
    <row r="767" spans="5:9" x14ac:dyDescent="0.3">
      <c r="E767">
        <v>766</v>
      </c>
      <c r="H767">
        <v>0</v>
      </c>
      <c r="I767">
        <v>1</v>
      </c>
    </row>
    <row r="768" spans="5:9" x14ac:dyDescent="0.3">
      <c r="E768">
        <v>767</v>
      </c>
      <c r="H768">
        <v>0</v>
      </c>
      <c r="I768">
        <v>2</v>
      </c>
    </row>
    <row r="769" spans="5:9" x14ac:dyDescent="0.3">
      <c r="E769">
        <v>768</v>
      </c>
      <c r="H769">
        <v>0</v>
      </c>
      <c r="I769">
        <v>3</v>
      </c>
    </row>
    <row r="770" spans="5:9" x14ac:dyDescent="0.3">
      <c r="E770">
        <v>769</v>
      </c>
      <c r="H770">
        <v>0</v>
      </c>
      <c r="I770">
        <v>4</v>
      </c>
    </row>
    <row r="771" spans="5:9" x14ac:dyDescent="0.3">
      <c r="E771">
        <v>770</v>
      </c>
      <c r="H771">
        <v>0</v>
      </c>
      <c r="I771">
        <v>5</v>
      </c>
    </row>
    <row r="772" spans="5:9" x14ac:dyDescent="0.3">
      <c r="E772">
        <v>771</v>
      </c>
      <c r="H772">
        <v>0</v>
      </c>
      <c r="I772">
        <v>1</v>
      </c>
    </row>
    <row r="773" spans="5:9" x14ac:dyDescent="0.3">
      <c r="E773">
        <v>772</v>
      </c>
      <c r="H773">
        <v>0</v>
      </c>
      <c r="I773">
        <v>2</v>
      </c>
    </row>
    <row r="774" spans="5:9" x14ac:dyDescent="0.3">
      <c r="E774">
        <v>773</v>
      </c>
      <c r="H774">
        <v>0</v>
      </c>
      <c r="I774">
        <v>3</v>
      </c>
    </row>
    <row r="775" spans="5:9" x14ac:dyDescent="0.3">
      <c r="E775">
        <v>774</v>
      </c>
      <c r="H775">
        <v>0</v>
      </c>
      <c r="I775">
        <v>4</v>
      </c>
    </row>
    <row r="776" spans="5:9" x14ac:dyDescent="0.3">
      <c r="E776">
        <v>775</v>
      </c>
      <c r="H776">
        <v>0</v>
      </c>
      <c r="I776">
        <v>5</v>
      </c>
    </row>
    <row r="777" spans="5:9" x14ac:dyDescent="0.3">
      <c r="E777">
        <v>776</v>
      </c>
      <c r="H777">
        <v>0</v>
      </c>
      <c r="I777">
        <v>1</v>
      </c>
    </row>
    <row r="778" spans="5:9" x14ac:dyDescent="0.3">
      <c r="E778">
        <v>777</v>
      </c>
      <c r="H778">
        <v>0</v>
      </c>
      <c r="I778">
        <v>2</v>
      </c>
    </row>
    <row r="779" spans="5:9" x14ac:dyDescent="0.3">
      <c r="E779">
        <v>778</v>
      </c>
      <c r="H779">
        <v>0</v>
      </c>
      <c r="I779">
        <v>3</v>
      </c>
    </row>
    <row r="780" spans="5:9" x14ac:dyDescent="0.3">
      <c r="E780">
        <v>779</v>
      </c>
      <c r="H780">
        <v>0</v>
      </c>
      <c r="I780">
        <v>4</v>
      </c>
    </row>
    <row r="781" spans="5:9" x14ac:dyDescent="0.3">
      <c r="E781">
        <v>780</v>
      </c>
      <c r="H781">
        <v>0</v>
      </c>
      <c r="I781">
        <v>5</v>
      </c>
    </row>
    <row r="782" spans="5:9" x14ac:dyDescent="0.3">
      <c r="E782">
        <v>781</v>
      </c>
      <c r="H782">
        <v>0</v>
      </c>
      <c r="I782">
        <v>1</v>
      </c>
    </row>
    <row r="783" spans="5:9" x14ac:dyDescent="0.3">
      <c r="E783">
        <v>782</v>
      </c>
      <c r="H783">
        <v>0</v>
      </c>
      <c r="I783">
        <v>2</v>
      </c>
    </row>
    <row r="784" spans="5:9" x14ac:dyDescent="0.3">
      <c r="E784">
        <v>783</v>
      </c>
      <c r="H784">
        <v>0</v>
      </c>
      <c r="I784">
        <v>3</v>
      </c>
    </row>
    <row r="785" spans="5:9" x14ac:dyDescent="0.3">
      <c r="E785">
        <v>784</v>
      </c>
      <c r="H785">
        <v>0</v>
      </c>
      <c r="I785">
        <v>4</v>
      </c>
    </row>
    <row r="786" spans="5:9" x14ac:dyDescent="0.3">
      <c r="E786">
        <v>785</v>
      </c>
      <c r="H786">
        <v>0</v>
      </c>
      <c r="I786">
        <v>5</v>
      </c>
    </row>
    <row r="787" spans="5:9" x14ac:dyDescent="0.3">
      <c r="E787">
        <v>786</v>
      </c>
      <c r="H787">
        <v>0</v>
      </c>
      <c r="I787">
        <v>1</v>
      </c>
    </row>
    <row r="788" spans="5:9" x14ac:dyDescent="0.3">
      <c r="E788">
        <v>787</v>
      </c>
      <c r="H788">
        <v>0</v>
      </c>
      <c r="I788">
        <v>2</v>
      </c>
    </row>
    <row r="789" spans="5:9" x14ac:dyDescent="0.3">
      <c r="E789">
        <v>788</v>
      </c>
      <c r="H789">
        <v>0</v>
      </c>
      <c r="I789">
        <v>3</v>
      </c>
    </row>
    <row r="790" spans="5:9" x14ac:dyDescent="0.3">
      <c r="E790">
        <v>789</v>
      </c>
      <c r="H790">
        <v>0</v>
      </c>
      <c r="I790">
        <v>4</v>
      </c>
    </row>
    <row r="791" spans="5:9" x14ac:dyDescent="0.3">
      <c r="E791">
        <v>790</v>
      </c>
      <c r="H791">
        <v>0</v>
      </c>
      <c r="I791">
        <v>5</v>
      </c>
    </row>
    <row r="792" spans="5:9" x14ac:dyDescent="0.3">
      <c r="E792">
        <v>791</v>
      </c>
      <c r="H792">
        <v>0</v>
      </c>
      <c r="I792">
        <v>1</v>
      </c>
    </row>
    <row r="793" spans="5:9" x14ac:dyDescent="0.3">
      <c r="E793">
        <v>792</v>
      </c>
      <c r="H793">
        <v>0</v>
      </c>
      <c r="I793">
        <v>2</v>
      </c>
    </row>
    <row r="794" spans="5:9" x14ac:dyDescent="0.3">
      <c r="E794">
        <v>793</v>
      </c>
      <c r="H794">
        <v>0</v>
      </c>
      <c r="I794">
        <v>3</v>
      </c>
    </row>
    <row r="795" spans="5:9" x14ac:dyDescent="0.3">
      <c r="E795">
        <v>794</v>
      </c>
      <c r="H795">
        <v>0</v>
      </c>
      <c r="I795">
        <v>4</v>
      </c>
    </row>
    <row r="796" spans="5:9" x14ac:dyDescent="0.3">
      <c r="E796">
        <v>795</v>
      </c>
      <c r="H796">
        <v>0</v>
      </c>
      <c r="I796">
        <v>5</v>
      </c>
    </row>
    <row r="797" spans="5:9" x14ac:dyDescent="0.3">
      <c r="E797">
        <v>796</v>
      </c>
      <c r="H797">
        <v>0</v>
      </c>
      <c r="I797">
        <v>1</v>
      </c>
    </row>
    <row r="798" spans="5:9" x14ac:dyDescent="0.3">
      <c r="E798">
        <v>797</v>
      </c>
      <c r="H798">
        <v>0</v>
      </c>
      <c r="I798">
        <v>2</v>
      </c>
    </row>
    <row r="799" spans="5:9" x14ac:dyDescent="0.3">
      <c r="E799">
        <v>798</v>
      </c>
      <c r="H799">
        <v>0</v>
      </c>
      <c r="I799">
        <v>3</v>
      </c>
    </row>
    <row r="800" spans="5:9" x14ac:dyDescent="0.3">
      <c r="E800">
        <v>799</v>
      </c>
      <c r="H800">
        <v>0</v>
      </c>
      <c r="I800">
        <v>4</v>
      </c>
    </row>
    <row r="801" spans="5:9" x14ac:dyDescent="0.3">
      <c r="E801">
        <v>800</v>
      </c>
      <c r="H801">
        <v>0</v>
      </c>
      <c r="I801">
        <v>5</v>
      </c>
    </row>
    <row r="802" spans="5:9" x14ac:dyDescent="0.3">
      <c r="E802">
        <v>801</v>
      </c>
      <c r="H802">
        <v>0</v>
      </c>
      <c r="I802">
        <v>1</v>
      </c>
    </row>
    <row r="803" spans="5:9" x14ac:dyDescent="0.3">
      <c r="E803">
        <v>802</v>
      </c>
      <c r="H803">
        <v>0</v>
      </c>
      <c r="I803">
        <v>2</v>
      </c>
    </row>
    <row r="804" spans="5:9" x14ac:dyDescent="0.3">
      <c r="E804">
        <v>803</v>
      </c>
      <c r="H804">
        <v>0</v>
      </c>
      <c r="I804">
        <v>3</v>
      </c>
    </row>
    <row r="805" spans="5:9" x14ac:dyDescent="0.3">
      <c r="E805">
        <v>804</v>
      </c>
      <c r="H805">
        <v>0</v>
      </c>
      <c r="I805">
        <v>4</v>
      </c>
    </row>
    <row r="806" spans="5:9" x14ac:dyDescent="0.3">
      <c r="E806">
        <v>805</v>
      </c>
      <c r="H806">
        <v>0</v>
      </c>
      <c r="I806">
        <v>5</v>
      </c>
    </row>
    <row r="807" spans="5:9" x14ac:dyDescent="0.3">
      <c r="E807">
        <v>806</v>
      </c>
      <c r="H807">
        <v>0</v>
      </c>
      <c r="I807">
        <v>1</v>
      </c>
    </row>
    <row r="808" spans="5:9" x14ac:dyDescent="0.3">
      <c r="E808">
        <v>807</v>
      </c>
      <c r="H808">
        <v>0</v>
      </c>
      <c r="I808">
        <v>2</v>
      </c>
    </row>
    <row r="809" spans="5:9" x14ac:dyDescent="0.3">
      <c r="E809">
        <v>808</v>
      </c>
      <c r="H809">
        <v>0</v>
      </c>
      <c r="I809">
        <v>3</v>
      </c>
    </row>
    <row r="810" spans="5:9" x14ac:dyDescent="0.3">
      <c r="E810">
        <v>809</v>
      </c>
      <c r="H810">
        <v>0</v>
      </c>
      <c r="I810">
        <v>4</v>
      </c>
    </row>
    <row r="811" spans="5:9" x14ac:dyDescent="0.3">
      <c r="E811">
        <v>810</v>
      </c>
      <c r="H811">
        <v>0</v>
      </c>
      <c r="I811">
        <v>5</v>
      </c>
    </row>
    <row r="812" spans="5:9" x14ac:dyDescent="0.3">
      <c r="E812">
        <v>811</v>
      </c>
      <c r="H812">
        <v>0</v>
      </c>
      <c r="I812">
        <v>1</v>
      </c>
    </row>
    <row r="813" spans="5:9" x14ac:dyDescent="0.3">
      <c r="E813">
        <v>812</v>
      </c>
      <c r="H813">
        <v>0</v>
      </c>
      <c r="I813">
        <v>2</v>
      </c>
    </row>
    <row r="814" spans="5:9" x14ac:dyDescent="0.3">
      <c r="E814">
        <v>813</v>
      </c>
      <c r="H814">
        <v>0</v>
      </c>
      <c r="I814">
        <v>3</v>
      </c>
    </row>
    <row r="815" spans="5:9" x14ac:dyDescent="0.3">
      <c r="E815">
        <v>814</v>
      </c>
      <c r="H815">
        <v>0</v>
      </c>
      <c r="I815">
        <v>4</v>
      </c>
    </row>
    <row r="816" spans="5:9" x14ac:dyDescent="0.3">
      <c r="E816">
        <v>815</v>
      </c>
      <c r="H816">
        <v>0</v>
      </c>
      <c r="I816">
        <v>5</v>
      </c>
    </row>
    <row r="817" spans="5:9" x14ac:dyDescent="0.3">
      <c r="E817">
        <v>816</v>
      </c>
      <c r="H817">
        <v>0</v>
      </c>
      <c r="I817">
        <v>1</v>
      </c>
    </row>
    <row r="818" spans="5:9" x14ac:dyDescent="0.3">
      <c r="E818">
        <v>817</v>
      </c>
      <c r="H818">
        <v>0</v>
      </c>
      <c r="I818">
        <v>2</v>
      </c>
    </row>
    <row r="819" spans="5:9" x14ac:dyDescent="0.3">
      <c r="E819">
        <v>818</v>
      </c>
      <c r="H819">
        <v>0</v>
      </c>
      <c r="I819">
        <v>3</v>
      </c>
    </row>
    <row r="820" spans="5:9" x14ac:dyDescent="0.3">
      <c r="E820">
        <v>819</v>
      </c>
      <c r="H820">
        <v>0</v>
      </c>
      <c r="I820">
        <v>4</v>
      </c>
    </row>
    <row r="821" spans="5:9" x14ac:dyDescent="0.3">
      <c r="E821">
        <v>820</v>
      </c>
      <c r="H821">
        <v>0</v>
      </c>
      <c r="I821">
        <v>5</v>
      </c>
    </row>
    <row r="822" spans="5:9" x14ac:dyDescent="0.3">
      <c r="E822">
        <v>821</v>
      </c>
      <c r="H822">
        <v>0</v>
      </c>
      <c r="I822">
        <v>1</v>
      </c>
    </row>
    <row r="823" spans="5:9" x14ac:dyDescent="0.3">
      <c r="E823">
        <v>822</v>
      </c>
      <c r="H823">
        <v>0</v>
      </c>
      <c r="I823">
        <v>2</v>
      </c>
    </row>
    <row r="824" spans="5:9" x14ac:dyDescent="0.3">
      <c r="E824">
        <v>823</v>
      </c>
      <c r="H824">
        <v>0</v>
      </c>
      <c r="I824">
        <v>3</v>
      </c>
    </row>
    <row r="825" spans="5:9" x14ac:dyDescent="0.3">
      <c r="E825">
        <v>824</v>
      </c>
      <c r="H825">
        <v>0</v>
      </c>
      <c r="I825">
        <v>4</v>
      </c>
    </row>
    <row r="826" spans="5:9" x14ac:dyDescent="0.3">
      <c r="E826">
        <v>825</v>
      </c>
      <c r="H826">
        <v>0</v>
      </c>
      <c r="I826">
        <v>5</v>
      </c>
    </row>
    <row r="827" spans="5:9" x14ac:dyDescent="0.3">
      <c r="E827">
        <v>826</v>
      </c>
      <c r="H827">
        <v>0</v>
      </c>
      <c r="I827">
        <v>1</v>
      </c>
    </row>
    <row r="828" spans="5:9" x14ac:dyDescent="0.3">
      <c r="E828">
        <v>827</v>
      </c>
      <c r="H828">
        <v>0</v>
      </c>
      <c r="I828">
        <v>2</v>
      </c>
    </row>
    <row r="829" spans="5:9" x14ac:dyDescent="0.3">
      <c r="E829">
        <v>828</v>
      </c>
      <c r="H829">
        <v>0</v>
      </c>
      <c r="I829">
        <v>3</v>
      </c>
    </row>
    <row r="830" spans="5:9" x14ac:dyDescent="0.3">
      <c r="E830">
        <v>829</v>
      </c>
      <c r="H830">
        <v>0</v>
      </c>
      <c r="I830">
        <v>4</v>
      </c>
    </row>
    <row r="831" spans="5:9" x14ac:dyDescent="0.3">
      <c r="E831">
        <v>830</v>
      </c>
      <c r="H831">
        <v>0</v>
      </c>
      <c r="I831">
        <v>5</v>
      </c>
    </row>
    <row r="832" spans="5:9" x14ac:dyDescent="0.3">
      <c r="E832">
        <v>831</v>
      </c>
      <c r="H832">
        <v>0</v>
      </c>
      <c r="I832">
        <v>1</v>
      </c>
    </row>
    <row r="833" spans="5:9" x14ac:dyDescent="0.3">
      <c r="E833">
        <v>832</v>
      </c>
      <c r="H833">
        <v>0</v>
      </c>
      <c r="I833">
        <v>2</v>
      </c>
    </row>
    <row r="834" spans="5:9" x14ac:dyDescent="0.3">
      <c r="E834">
        <v>833</v>
      </c>
      <c r="H834">
        <v>0</v>
      </c>
      <c r="I834">
        <v>3</v>
      </c>
    </row>
    <row r="835" spans="5:9" x14ac:dyDescent="0.3">
      <c r="E835">
        <v>834</v>
      </c>
      <c r="H835">
        <v>0</v>
      </c>
      <c r="I835">
        <v>4</v>
      </c>
    </row>
    <row r="836" spans="5:9" x14ac:dyDescent="0.3">
      <c r="E836">
        <v>835</v>
      </c>
      <c r="H836">
        <v>0</v>
      </c>
      <c r="I836">
        <v>5</v>
      </c>
    </row>
    <row r="837" spans="5:9" x14ac:dyDescent="0.3">
      <c r="E837">
        <v>836</v>
      </c>
      <c r="H837">
        <v>0</v>
      </c>
      <c r="I837">
        <v>1</v>
      </c>
    </row>
    <row r="838" spans="5:9" x14ac:dyDescent="0.3">
      <c r="E838">
        <v>837</v>
      </c>
      <c r="H838">
        <v>0</v>
      </c>
      <c r="I838">
        <v>2</v>
      </c>
    </row>
    <row r="839" spans="5:9" x14ac:dyDescent="0.3">
      <c r="E839">
        <v>838</v>
      </c>
      <c r="H839">
        <v>0</v>
      </c>
      <c r="I839">
        <v>3</v>
      </c>
    </row>
    <row r="840" spans="5:9" x14ac:dyDescent="0.3">
      <c r="E840">
        <v>839</v>
      </c>
      <c r="H840">
        <v>0</v>
      </c>
      <c r="I840">
        <v>4</v>
      </c>
    </row>
    <row r="841" spans="5:9" x14ac:dyDescent="0.3">
      <c r="E841">
        <v>840</v>
      </c>
      <c r="H841">
        <v>0</v>
      </c>
      <c r="I841">
        <v>5</v>
      </c>
    </row>
    <row r="842" spans="5:9" x14ac:dyDescent="0.3">
      <c r="E842">
        <v>841</v>
      </c>
      <c r="H842">
        <v>0</v>
      </c>
      <c r="I842">
        <v>1</v>
      </c>
    </row>
    <row r="843" spans="5:9" x14ac:dyDescent="0.3">
      <c r="E843">
        <v>842</v>
      </c>
      <c r="H843">
        <v>0</v>
      </c>
      <c r="I843">
        <v>2</v>
      </c>
    </row>
    <row r="844" spans="5:9" x14ac:dyDescent="0.3">
      <c r="E844">
        <v>843</v>
      </c>
      <c r="H844">
        <v>0</v>
      </c>
      <c r="I844">
        <v>3</v>
      </c>
    </row>
    <row r="845" spans="5:9" x14ac:dyDescent="0.3">
      <c r="E845">
        <v>844</v>
      </c>
      <c r="H845">
        <v>0</v>
      </c>
      <c r="I845">
        <v>4</v>
      </c>
    </row>
    <row r="846" spans="5:9" x14ac:dyDescent="0.3">
      <c r="E846">
        <v>845</v>
      </c>
      <c r="H846">
        <v>0</v>
      </c>
      <c r="I846">
        <v>5</v>
      </c>
    </row>
    <row r="847" spans="5:9" x14ac:dyDescent="0.3">
      <c r="E847">
        <v>846</v>
      </c>
      <c r="H847">
        <v>0</v>
      </c>
      <c r="I847">
        <v>1</v>
      </c>
    </row>
    <row r="848" spans="5:9" x14ac:dyDescent="0.3">
      <c r="E848">
        <v>847</v>
      </c>
      <c r="H848">
        <v>0</v>
      </c>
      <c r="I848">
        <v>2</v>
      </c>
    </row>
    <row r="849" spans="5:9" x14ac:dyDescent="0.3">
      <c r="E849">
        <v>848</v>
      </c>
      <c r="H849">
        <v>0</v>
      </c>
      <c r="I849">
        <v>3</v>
      </c>
    </row>
    <row r="850" spans="5:9" x14ac:dyDescent="0.3">
      <c r="E850">
        <v>849</v>
      </c>
      <c r="H850">
        <v>0</v>
      </c>
      <c r="I850">
        <v>4</v>
      </c>
    </row>
    <row r="851" spans="5:9" x14ac:dyDescent="0.3">
      <c r="E851">
        <v>850</v>
      </c>
      <c r="H851">
        <v>0</v>
      </c>
      <c r="I851">
        <v>5</v>
      </c>
    </row>
    <row r="852" spans="5:9" x14ac:dyDescent="0.3">
      <c r="E852">
        <v>851</v>
      </c>
      <c r="H852">
        <v>0</v>
      </c>
      <c r="I852">
        <v>1</v>
      </c>
    </row>
    <row r="853" spans="5:9" x14ac:dyDescent="0.3">
      <c r="E853">
        <v>852</v>
      </c>
      <c r="H853">
        <v>0</v>
      </c>
      <c r="I853">
        <v>2</v>
      </c>
    </row>
    <row r="854" spans="5:9" x14ac:dyDescent="0.3">
      <c r="E854">
        <v>853</v>
      </c>
      <c r="H854">
        <v>0</v>
      </c>
      <c r="I854">
        <v>3</v>
      </c>
    </row>
    <row r="855" spans="5:9" x14ac:dyDescent="0.3">
      <c r="E855">
        <v>854</v>
      </c>
      <c r="H855">
        <v>0</v>
      </c>
      <c r="I855">
        <v>4</v>
      </c>
    </row>
    <row r="856" spans="5:9" x14ac:dyDescent="0.3">
      <c r="E856">
        <v>855</v>
      </c>
      <c r="H856">
        <v>0</v>
      </c>
      <c r="I856">
        <v>5</v>
      </c>
    </row>
    <row r="857" spans="5:9" x14ac:dyDescent="0.3">
      <c r="E857">
        <v>856</v>
      </c>
      <c r="H857">
        <v>0</v>
      </c>
      <c r="I857">
        <v>1</v>
      </c>
    </row>
    <row r="858" spans="5:9" x14ac:dyDescent="0.3">
      <c r="E858">
        <v>857</v>
      </c>
      <c r="H858">
        <v>0</v>
      </c>
      <c r="I858">
        <v>2</v>
      </c>
    </row>
    <row r="859" spans="5:9" x14ac:dyDescent="0.3">
      <c r="E859">
        <v>858</v>
      </c>
      <c r="H859">
        <v>0</v>
      </c>
      <c r="I859">
        <v>3</v>
      </c>
    </row>
    <row r="860" spans="5:9" x14ac:dyDescent="0.3">
      <c r="E860">
        <v>859</v>
      </c>
      <c r="H860">
        <v>0</v>
      </c>
      <c r="I860">
        <v>4</v>
      </c>
    </row>
    <row r="861" spans="5:9" x14ac:dyDescent="0.3">
      <c r="E861">
        <v>860</v>
      </c>
      <c r="H861">
        <v>0</v>
      </c>
      <c r="I861">
        <v>5</v>
      </c>
    </row>
    <row r="862" spans="5:9" x14ac:dyDescent="0.3">
      <c r="E862">
        <v>861</v>
      </c>
      <c r="H862">
        <v>0</v>
      </c>
      <c r="I862">
        <v>1</v>
      </c>
    </row>
    <row r="863" spans="5:9" x14ac:dyDescent="0.3">
      <c r="E863">
        <v>862</v>
      </c>
      <c r="H863">
        <v>0</v>
      </c>
      <c r="I863">
        <v>2</v>
      </c>
    </row>
    <row r="864" spans="5:9" x14ac:dyDescent="0.3">
      <c r="E864">
        <v>863</v>
      </c>
      <c r="H864">
        <v>0</v>
      </c>
      <c r="I864">
        <v>3</v>
      </c>
    </row>
    <row r="865" spans="5:9" x14ac:dyDescent="0.3">
      <c r="E865">
        <v>864</v>
      </c>
      <c r="H865">
        <v>0</v>
      </c>
      <c r="I865">
        <v>4</v>
      </c>
    </row>
    <row r="866" spans="5:9" x14ac:dyDescent="0.3">
      <c r="E866">
        <v>865</v>
      </c>
      <c r="H866">
        <v>0</v>
      </c>
      <c r="I866">
        <v>5</v>
      </c>
    </row>
    <row r="867" spans="5:9" x14ac:dyDescent="0.3">
      <c r="E867">
        <v>866</v>
      </c>
      <c r="H867">
        <v>0</v>
      </c>
      <c r="I867">
        <v>1</v>
      </c>
    </row>
    <row r="868" spans="5:9" x14ac:dyDescent="0.3">
      <c r="E868">
        <v>867</v>
      </c>
      <c r="H868">
        <v>0</v>
      </c>
      <c r="I868">
        <v>2</v>
      </c>
    </row>
    <row r="869" spans="5:9" x14ac:dyDescent="0.3">
      <c r="E869">
        <v>868</v>
      </c>
      <c r="H869">
        <v>0</v>
      </c>
      <c r="I869">
        <v>3</v>
      </c>
    </row>
    <row r="870" spans="5:9" x14ac:dyDescent="0.3">
      <c r="E870">
        <v>869</v>
      </c>
      <c r="H870">
        <v>0</v>
      </c>
      <c r="I870">
        <v>4</v>
      </c>
    </row>
    <row r="871" spans="5:9" x14ac:dyDescent="0.3">
      <c r="E871">
        <v>870</v>
      </c>
      <c r="H871">
        <v>0</v>
      </c>
      <c r="I871">
        <v>5</v>
      </c>
    </row>
    <row r="872" spans="5:9" x14ac:dyDescent="0.3">
      <c r="E872">
        <v>871</v>
      </c>
      <c r="H872">
        <v>0</v>
      </c>
      <c r="I872">
        <v>1</v>
      </c>
    </row>
    <row r="873" spans="5:9" x14ac:dyDescent="0.3">
      <c r="E873">
        <v>872</v>
      </c>
      <c r="H873">
        <v>0</v>
      </c>
      <c r="I873">
        <v>2</v>
      </c>
    </row>
    <row r="874" spans="5:9" x14ac:dyDescent="0.3">
      <c r="E874">
        <v>873</v>
      </c>
      <c r="H874">
        <v>0</v>
      </c>
      <c r="I874">
        <v>3</v>
      </c>
    </row>
    <row r="875" spans="5:9" x14ac:dyDescent="0.3">
      <c r="E875">
        <v>874</v>
      </c>
      <c r="H875">
        <v>0</v>
      </c>
      <c r="I875">
        <v>4</v>
      </c>
    </row>
    <row r="876" spans="5:9" x14ac:dyDescent="0.3">
      <c r="E876">
        <v>875</v>
      </c>
      <c r="H876">
        <v>0</v>
      </c>
      <c r="I876">
        <v>5</v>
      </c>
    </row>
    <row r="877" spans="5:9" x14ac:dyDescent="0.3">
      <c r="E877">
        <v>876</v>
      </c>
      <c r="H877">
        <v>0</v>
      </c>
      <c r="I877">
        <v>1</v>
      </c>
    </row>
    <row r="878" spans="5:9" x14ac:dyDescent="0.3">
      <c r="E878">
        <v>877</v>
      </c>
      <c r="H878">
        <v>0</v>
      </c>
      <c r="I878">
        <v>2</v>
      </c>
    </row>
    <row r="879" spans="5:9" x14ac:dyDescent="0.3">
      <c r="E879">
        <v>878</v>
      </c>
      <c r="H879">
        <v>0</v>
      </c>
      <c r="I879">
        <v>3</v>
      </c>
    </row>
    <row r="880" spans="5:9" x14ac:dyDescent="0.3">
      <c r="E880">
        <v>879</v>
      </c>
      <c r="H880">
        <v>0</v>
      </c>
      <c r="I880">
        <v>4</v>
      </c>
    </row>
    <row r="881" spans="5:9" x14ac:dyDescent="0.3">
      <c r="E881">
        <v>880</v>
      </c>
      <c r="H881">
        <v>0</v>
      </c>
      <c r="I881">
        <v>5</v>
      </c>
    </row>
    <row r="882" spans="5:9" x14ac:dyDescent="0.3">
      <c r="E882">
        <v>881</v>
      </c>
      <c r="H882">
        <v>0</v>
      </c>
      <c r="I882">
        <v>1</v>
      </c>
    </row>
    <row r="883" spans="5:9" x14ac:dyDescent="0.3">
      <c r="E883">
        <v>882</v>
      </c>
      <c r="H883">
        <v>0</v>
      </c>
      <c r="I883">
        <v>2</v>
      </c>
    </row>
    <row r="884" spans="5:9" x14ac:dyDescent="0.3">
      <c r="E884">
        <v>883</v>
      </c>
      <c r="H884">
        <v>0</v>
      </c>
      <c r="I884">
        <v>3</v>
      </c>
    </row>
    <row r="885" spans="5:9" x14ac:dyDescent="0.3">
      <c r="E885">
        <v>884</v>
      </c>
      <c r="H885">
        <v>0</v>
      </c>
      <c r="I885">
        <v>4</v>
      </c>
    </row>
    <row r="886" spans="5:9" x14ac:dyDescent="0.3">
      <c r="E886">
        <v>885</v>
      </c>
      <c r="H886">
        <v>0</v>
      </c>
      <c r="I886">
        <v>5</v>
      </c>
    </row>
    <row r="887" spans="5:9" x14ac:dyDescent="0.3">
      <c r="E887">
        <v>886</v>
      </c>
      <c r="H887">
        <v>0</v>
      </c>
      <c r="I887">
        <v>1</v>
      </c>
    </row>
    <row r="888" spans="5:9" x14ac:dyDescent="0.3">
      <c r="E888">
        <v>887</v>
      </c>
      <c r="H888">
        <v>0</v>
      </c>
      <c r="I888">
        <v>2</v>
      </c>
    </row>
    <row r="889" spans="5:9" x14ac:dyDescent="0.3">
      <c r="E889">
        <v>888</v>
      </c>
      <c r="H889">
        <v>0</v>
      </c>
      <c r="I889">
        <v>3</v>
      </c>
    </row>
    <row r="890" spans="5:9" x14ac:dyDescent="0.3">
      <c r="E890">
        <v>889</v>
      </c>
      <c r="H890">
        <v>0</v>
      </c>
      <c r="I890">
        <v>4</v>
      </c>
    </row>
    <row r="891" spans="5:9" x14ac:dyDescent="0.3">
      <c r="E891">
        <v>890</v>
      </c>
      <c r="H891">
        <v>0</v>
      </c>
      <c r="I891">
        <v>5</v>
      </c>
    </row>
    <row r="892" spans="5:9" x14ac:dyDescent="0.3">
      <c r="E892">
        <v>891</v>
      </c>
      <c r="H892">
        <v>0</v>
      </c>
      <c r="I892">
        <v>1</v>
      </c>
    </row>
    <row r="893" spans="5:9" x14ac:dyDescent="0.3">
      <c r="E893">
        <v>892</v>
      </c>
      <c r="H893">
        <v>0</v>
      </c>
      <c r="I893">
        <v>2</v>
      </c>
    </row>
    <row r="894" spans="5:9" x14ac:dyDescent="0.3">
      <c r="E894">
        <v>893</v>
      </c>
      <c r="H894">
        <v>0</v>
      </c>
      <c r="I894">
        <v>3</v>
      </c>
    </row>
    <row r="895" spans="5:9" x14ac:dyDescent="0.3">
      <c r="E895">
        <v>894</v>
      </c>
      <c r="H895">
        <v>0</v>
      </c>
      <c r="I895">
        <v>4</v>
      </c>
    </row>
    <row r="896" spans="5:9" x14ac:dyDescent="0.3">
      <c r="E896">
        <v>895</v>
      </c>
      <c r="H896">
        <v>0</v>
      </c>
      <c r="I896">
        <v>5</v>
      </c>
    </row>
    <row r="897" spans="5:9" x14ac:dyDescent="0.3">
      <c r="E897">
        <v>896</v>
      </c>
      <c r="H897">
        <v>0</v>
      </c>
      <c r="I897">
        <v>1</v>
      </c>
    </row>
    <row r="898" spans="5:9" x14ac:dyDescent="0.3">
      <c r="E898">
        <v>897</v>
      </c>
      <c r="H898">
        <v>0</v>
      </c>
      <c r="I898">
        <v>2</v>
      </c>
    </row>
    <row r="899" spans="5:9" x14ac:dyDescent="0.3">
      <c r="E899">
        <v>898</v>
      </c>
      <c r="H899">
        <v>0</v>
      </c>
      <c r="I899">
        <v>3</v>
      </c>
    </row>
    <row r="900" spans="5:9" x14ac:dyDescent="0.3">
      <c r="E900">
        <v>899</v>
      </c>
      <c r="H900">
        <v>0</v>
      </c>
      <c r="I900">
        <v>4</v>
      </c>
    </row>
    <row r="901" spans="5:9" x14ac:dyDescent="0.3">
      <c r="E901">
        <v>900</v>
      </c>
      <c r="H901">
        <v>0</v>
      </c>
      <c r="I901">
        <v>5</v>
      </c>
    </row>
    <row r="902" spans="5:9" x14ac:dyDescent="0.3">
      <c r="E902">
        <v>901</v>
      </c>
      <c r="H902">
        <v>0</v>
      </c>
      <c r="I902">
        <v>1</v>
      </c>
    </row>
    <row r="903" spans="5:9" x14ac:dyDescent="0.3">
      <c r="E903">
        <v>902</v>
      </c>
      <c r="H903">
        <v>0</v>
      </c>
      <c r="I903">
        <v>2</v>
      </c>
    </row>
    <row r="904" spans="5:9" x14ac:dyDescent="0.3">
      <c r="E904">
        <v>903</v>
      </c>
      <c r="H904">
        <v>0</v>
      </c>
      <c r="I904">
        <v>3</v>
      </c>
    </row>
    <row r="905" spans="5:9" x14ac:dyDescent="0.3">
      <c r="E905">
        <v>904</v>
      </c>
      <c r="H905">
        <v>0</v>
      </c>
      <c r="I905">
        <v>4</v>
      </c>
    </row>
    <row r="906" spans="5:9" x14ac:dyDescent="0.3">
      <c r="E906">
        <v>905</v>
      </c>
      <c r="H906">
        <v>0</v>
      </c>
      <c r="I906">
        <v>5</v>
      </c>
    </row>
    <row r="907" spans="5:9" x14ac:dyDescent="0.3">
      <c r="E907">
        <v>906</v>
      </c>
      <c r="H907">
        <v>0</v>
      </c>
      <c r="I907">
        <v>1</v>
      </c>
    </row>
    <row r="908" spans="5:9" x14ac:dyDescent="0.3">
      <c r="E908">
        <v>907</v>
      </c>
      <c r="H908">
        <v>0</v>
      </c>
      <c r="I908">
        <v>2</v>
      </c>
    </row>
    <row r="909" spans="5:9" x14ac:dyDescent="0.3">
      <c r="E909">
        <v>908</v>
      </c>
      <c r="H909">
        <v>0</v>
      </c>
      <c r="I909">
        <v>3</v>
      </c>
    </row>
    <row r="910" spans="5:9" x14ac:dyDescent="0.3">
      <c r="E910">
        <v>909</v>
      </c>
      <c r="H910">
        <v>0</v>
      </c>
      <c r="I910">
        <v>4</v>
      </c>
    </row>
    <row r="911" spans="5:9" x14ac:dyDescent="0.3">
      <c r="E911">
        <v>910</v>
      </c>
      <c r="H911">
        <v>0</v>
      </c>
      <c r="I911">
        <v>5</v>
      </c>
    </row>
    <row r="912" spans="5:9" x14ac:dyDescent="0.3">
      <c r="E912">
        <v>911</v>
      </c>
      <c r="H912">
        <v>0</v>
      </c>
      <c r="I912">
        <v>1</v>
      </c>
    </row>
    <row r="913" spans="5:9" x14ac:dyDescent="0.3">
      <c r="E913">
        <v>912</v>
      </c>
      <c r="H913">
        <v>0</v>
      </c>
      <c r="I913">
        <v>2</v>
      </c>
    </row>
    <row r="914" spans="5:9" x14ac:dyDescent="0.3">
      <c r="E914">
        <v>913</v>
      </c>
      <c r="H914">
        <v>0</v>
      </c>
      <c r="I914">
        <v>3</v>
      </c>
    </row>
    <row r="915" spans="5:9" x14ac:dyDescent="0.3">
      <c r="E915">
        <v>914</v>
      </c>
      <c r="H915">
        <v>0</v>
      </c>
      <c r="I915">
        <v>4</v>
      </c>
    </row>
    <row r="916" spans="5:9" x14ac:dyDescent="0.3">
      <c r="E916">
        <v>915</v>
      </c>
      <c r="H916">
        <v>0</v>
      </c>
      <c r="I916">
        <v>5</v>
      </c>
    </row>
    <row r="917" spans="5:9" x14ac:dyDescent="0.3">
      <c r="E917">
        <v>916</v>
      </c>
      <c r="H917">
        <v>0</v>
      </c>
      <c r="I917">
        <v>1</v>
      </c>
    </row>
    <row r="918" spans="5:9" x14ac:dyDescent="0.3">
      <c r="E918">
        <v>917</v>
      </c>
      <c r="H918">
        <v>0</v>
      </c>
      <c r="I918">
        <v>2</v>
      </c>
    </row>
    <row r="919" spans="5:9" x14ac:dyDescent="0.3">
      <c r="E919">
        <v>918</v>
      </c>
      <c r="H919">
        <v>0</v>
      </c>
      <c r="I919">
        <v>3</v>
      </c>
    </row>
    <row r="920" spans="5:9" x14ac:dyDescent="0.3">
      <c r="E920">
        <v>919</v>
      </c>
      <c r="H920">
        <v>0</v>
      </c>
      <c r="I920">
        <v>4</v>
      </c>
    </row>
    <row r="921" spans="5:9" x14ac:dyDescent="0.3">
      <c r="E921">
        <v>920</v>
      </c>
      <c r="H921">
        <v>0</v>
      </c>
      <c r="I921">
        <v>5</v>
      </c>
    </row>
    <row r="922" spans="5:9" x14ac:dyDescent="0.3">
      <c r="E922">
        <v>921</v>
      </c>
      <c r="H922">
        <v>0</v>
      </c>
      <c r="I922">
        <v>1</v>
      </c>
    </row>
    <row r="923" spans="5:9" x14ac:dyDescent="0.3">
      <c r="E923">
        <v>922</v>
      </c>
      <c r="H923">
        <v>0</v>
      </c>
      <c r="I923">
        <v>2</v>
      </c>
    </row>
    <row r="924" spans="5:9" x14ac:dyDescent="0.3">
      <c r="E924">
        <v>923</v>
      </c>
      <c r="H924">
        <v>0</v>
      </c>
      <c r="I924">
        <v>3</v>
      </c>
    </row>
    <row r="925" spans="5:9" x14ac:dyDescent="0.3">
      <c r="E925">
        <v>924</v>
      </c>
      <c r="H925">
        <v>0</v>
      </c>
      <c r="I925">
        <v>4</v>
      </c>
    </row>
    <row r="926" spans="5:9" x14ac:dyDescent="0.3">
      <c r="E926">
        <v>925</v>
      </c>
      <c r="H926">
        <v>0</v>
      </c>
      <c r="I926">
        <v>5</v>
      </c>
    </row>
    <row r="927" spans="5:9" x14ac:dyDescent="0.3">
      <c r="E927">
        <v>926</v>
      </c>
      <c r="H927">
        <v>0</v>
      </c>
      <c r="I927">
        <v>1</v>
      </c>
    </row>
    <row r="928" spans="5:9" x14ac:dyDescent="0.3">
      <c r="E928">
        <v>927</v>
      </c>
      <c r="H928">
        <v>0</v>
      </c>
      <c r="I928">
        <v>2</v>
      </c>
    </row>
    <row r="929" spans="5:9" x14ac:dyDescent="0.3">
      <c r="E929">
        <v>928</v>
      </c>
      <c r="H929">
        <v>0</v>
      </c>
      <c r="I929">
        <v>3</v>
      </c>
    </row>
    <row r="930" spans="5:9" x14ac:dyDescent="0.3">
      <c r="E930">
        <v>929</v>
      </c>
      <c r="H930">
        <v>0</v>
      </c>
      <c r="I930">
        <v>4</v>
      </c>
    </row>
    <row r="931" spans="5:9" x14ac:dyDescent="0.3">
      <c r="E931">
        <v>930</v>
      </c>
      <c r="H931">
        <v>0</v>
      </c>
      <c r="I931">
        <v>5</v>
      </c>
    </row>
    <row r="932" spans="5:9" x14ac:dyDescent="0.3">
      <c r="E932">
        <v>931</v>
      </c>
      <c r="H932">
        <v>0</v>
      </c>
      <c r="I932">
        <v>1</v>
      </c>
    </row>
    <row r="933" spans="5:9" x14ac:dyDescent="0.3">
      <c r="E933">
        <v>932</v>
      </c>
      <c r="H933">
        <v>0</v>
      </c>
      <c r="I933">
        <v>2</v>
      </c>
    </row>
    <row r="934" spans="5:9" x14ac:dyDescent="0.3">
      <c r="E934">
        <v>933</v>
      </c>
      <c r="H934">
        <v>0</v>
      </c>
      <c r="I934">
        <v>3</v>
      </c>
    </row>
    <row r="935" spans="5:9" x14ac:dyDescent="0.3">
      <c r="E935">
        <v>934</v>
      </c>
      <c r="H935">
        <v>0</v>
      </c>
      <c r="I935">
        <v>4</v>
      </c>
    </row>
    <row r="936" spans="5:9" x14ac:dyDescent="0.3">
      <c r="E936">
        <v>935</v>
      </c>
      <c r="H936">
        <v>0</v>
      </c>
      <c r="I936">
        <v>5</v>
      </c>
    </row>
    <row r="937" spans="5:9" x14ac:dyDescent="0.3">
      <c r="E937">
        <v>936</v>
      </c>
      <c r="H937">
        <v>0</v>
      </c>
      <c r="I937">
        <v>1</v>
      </c>
    </row>
    <row r="938" spans="5:9" x14ac:dyDescent="0.3">
      <c r="E938">
        <v>937</v>
      </c>
      <c r="H938">
        <v>0</v>
      </c>
      <c r="I938">
        <v>2</v>
      </c>
    </row>
    <row r="939" spans="5:9" x14ac:dyDescent="0.3">
      <c r="E939">
        <v>938</v>
      </c>
      <c r="H939">
        <v>0</v>
      </c>
      <c r="I939">
        <v>3</v>
      </c>
    </row>
    <row r="940" spans="5:9" x14ac:dyDescent="0.3">
      <c r="E940">
        <v>939</v>
      </c>
      <c r="H940">
        <v>0</v>
      </c>
      <c r="I940">
        <v>4</v>
      </c>
    </row>
    <row r="941" spans="5:9" x14ac:dyDescent="0.3">
      <c r="E941">
        <v>940</v>
      </c>
      <c r="H941">
        <v>0</v>
      </c>
      <c r="I941">
        <v>5</v>
      </c>
    </row>
    <row r="942" spans="5:9" x14ac:dyDescent="0.3">
      <c r="E942">
        <v>941</v>
      </c>
      <c r="H942">
        <v>0</v>
      </c>
      <c r="I942">
        <v>1</v>
      </c>
    </row>
    <row r="943" spans="5:9" x14ac:dyDescent="0.3">
      <c r="E943">
        <v>942</v>
      </c>
      <c r="H943">
        <v>0</v>
      </c>
      <c r="I943">
        <v>2</v>
      </c>
    </row>
    <row r="944" spans="5:9" x14ac:dyDescent="0.3">
      <c r="E944">
        <v>943</v>
      </c>
      <c r="H944">
        <v>0</v>
      </c>
      <c r="I944">
        <v>3</v>
      </c>
    </row>
    <row r="945" spans="5:9" x14ac:dyDescent="0.3">
      <c r="E945">
        <v>944</v>
      </c>
      <c r="H945">
        <v>0</v>
      </c>
      <c r="I945">
        <v>4</v>
      </c>
    </row>
    <row r="946" spans="5:9" x14ac:dyDescent="0.3">
      <c r="E946">
        <v>945</v>
      </c>
      <c r="H946">
        <v>0</v>
      </c>
      <c r="I946">
        <v>5</v>
      </c>
    </row>
    <row r="947" spans="5:9" x14ac:dyDescent="0.3">
      <c r="E947">
        <v>946</v>
      </c>
      <c r="H947">
        <v>0</v>
      </c>
      <c r="I947">
        <v>1</v>
      </c>
    </row>
    <row r="948" spans="5:9" x14ac:dyDescent="0.3">
      <c r="E948">
        <v>947</v>
      </c>
      <c r="H948">
        <v>0</v>
      </c>
      <c r="I948">
        <v>2</v>
      </c>
    </row>
    <row r="949" spans="5:9" x14ac:dyDescent="0.3">
      <c r="E949">
        <v>948</v>
      </c>
      <c r="H949">
        <v>0</v>
      </c>
      <c r="I949">
        <v>3</v>
      </c>
    </row>
    <row r="950" spans="5:9" x14ac:dyDescent="0.3">
      <c r="E950">
        <v>949</v>
      </c>
      <c r="H950">
        <v>0</v>
      </c>
      <c r="I950">
        <v>4</v>
      </c>
    </row>
    <row r="951" spans="5:9" x14ac:dyDescent="0.3">
      <c r="E951">
        <v>950</v>
      </c>
      <c r="H951">
        <v>0</v>
      </c>
      <c r="I951">
        <v>5</v>
      </c>
    </row>
    <row r="952" spans="5:9" x14ac:dyDescent="0.3">
      <c r="E952">
        <v>951</v>
      </c>
      <c r="H952">
        <v>0</v>
      </c>
      <c r="I952">
        <v>1</v>
      </c>
    </row>
    <row r="953" spans="5:9" x14ac:dyDescent="0.3">
      <c r="E953">
        <v>952</v>
      </c>
      <c r="H953">
        <v>0</v>
      </c>
      <c r="I953">
        <v>2</v>
      </c>
    </row>
    <row r="954" spans="5:9" x14ac:dyDescent="0.3">
      <c r="E954">
        <v>953</v>
      </c>
      <c r="H954">
        <v>0</v>
      </c>
      <c r="I954">
        <v>3</v>
      </c>
    </row>
    <row r="955" spans="5:9" x14ac:dyDescent="0.3">
      <c r="E955">
        <v>954</v>
      </c>
      <c r="H955">
        <v>0</v>
      </c>
      <c r="I955">
        <v>4</v>
      </c>
    </row>
    <row r="956" spans="5:9" x14ac:dyDescent="0.3">
      <c r="E956">
        <v>955</v>
      </c>
      <c r="H956">
        <v>0</v>
      </c>
      <c r="I956">
        <v>5</v>
      </c>
    </row>
    <row r="957" spans="5:9" x14ac:dyDescent="0.3">
      <c r="E957">
        <v>956</v>
      </c>
      <c r="H957">
        <v>0</v>
      </c>
      <c r="I957">
        <v>1</v>
      </c>
    </row>
    <row r="958" spans="5:9" x14ac:dyDescent="0.3">
      <c r="E958">
        <v>957</v>
      </c>
      <c r="H958">
        <v>0</v>
      </c>
      <c r="I958">
        <v>2</v>
      </c>
    </row>
    <row r="959" spans="5:9" x14ac:dyDescent="0.3">
      <c r="E959">
        <v>958</v>
      </c>
      <c r="H959">
        <v>0</v>
      </c>
      <c r="I959">
        <v>3</v>
      </c>
    </row>
    <row r="960" spans="5:9" x14ac:dyDescent="0.3">
      <c r="E960">
        <v>959</v>
      </c>
      <c r="H960">
        <v>0</v>
      </c>
      <c r="I960">
        <v>4</v>
      </c>
    </row>
    <row r="961" spans="5:9" x14ac:dyDescent="0.3">
      <c r="E961">
        <v>960</v>
      </c>
      <c r="H961">
        <v>0</v>
      </c>
      <c r="I961">
        <v>5</v>
      </c>
    </row>
    <row r="962" spans="5:9" x14ac:dyDescent="0.3">
      <c r="E962">
        <v>961</v>
      </c>
      <c r="H962">
        <v>0</v>
      </c>
      <c r="I962">
        <v>1</v>
      </c>
    </row>
    <row r="963" spans="5:9" x14ac:dyDescent="0.3">
      <c r="E963">
        <v>962</v>
      </c>
      <c r="H963">
        <v>0</v>
      </c>
      <c r="I963">
        <v>2</v>
      </c>
    </row>
    <row r="964" spans="5:9" x14ac:dyDescent="0.3">
      <c r="E964">
        <v>963</v>
      </c>
      <c r="H964">
        <v>0</v>
      </c>
      <c r="I964">
        <v>3</v>
      </c>
    </row>
    <row r="965" spans="5:9" x14ac:dyDescent="0.3">
      <c r="E965">
        <v>964</v>
      </c>
      <c r="H965">
        <v>0</v>
      </c>
      <c r="I965">
        <v>4</v>
      </c>
    </row>
    <row r="966" spans="5:9" x14ac:dyDescent="0.3">
      <c r="E966">
        <v>965</v>
      </c>
      <c r="H966">
        <v>0</v>
      </c>
      <c r="I966">
        <v>5</v>
      </c>
    </row>
    <row r="967" spans="5:9" x14ac:dyDescent="0.3">
      <c r="E967">
        <v>966</v>
      </c>
      <c r="H967">
        <v>0</v>
      </c>
      <c r="I967">
        <v>1</v>
      </c>
    </row>
    <row r="968" spans="5:9" x14ac:dyDescent="0.3">
      <c r="E968">
        <v>967</v>
      </c>
      <c r="H968">
        <v>0</v>
      </c>
      <c r="I968">
        <v>2</v>
      </c>
    </row>
    <row r="969" spans="5:9" x14ac:dyDescent="0.3">
      <c r="E969">
        <v>968</v>
      </c>
      <c r="H969">
        <v>0</v>
      </c>
      <c r="I969">
        <v>3</v>
      </c>
    </row>
    <row r="970" spans="5:9" x14ac:dyDescent="0.3">
      <c r="E970">
        <v>969</v>
      </c>
      <c r="H970">
        <v>0</v>
      </c>
      <c r="I970">
        <v>4</v>
      </c>
    </row>
    <row r="971" spans="5:9" x14ac:dyDescent="0.3">
      <c r="E971">
        <v>970</v>
      </c>
      <c r="H971">
        <v>0</v>
      </c>
      <c r="I971">
        <v>5</v>
      </c>
    </row>
    <row r="972" spans="5:9" x14ac:dyDescent="0.3">
      <c r="E972">
        <v>971</v>
      </c>
      <c r="H972">
        <v>0</v>
      </c>
      <c r="I972">
        <v>1</v>
      </c>
    </row>
    <row r="973" spans="5:9" x14ac:dyDescent="0.3">
      <c r="E973">
        <v>972</v>
      </c>
      <c r="H973">
        <v>0</v>
      </c>
      <c r="I973">
        <v>2</v>
      </c>
    </row>
    <row r="974" spans="5:9" x14ac:dyDescent="0.3">
      <c r="E974">
        <v>973</v>
      </c>
      <c r="H974">
        <v>0</v>
      </c>
      <c r="I974">
        <v>3</v>
      </c>
    </row>
    <row r="975" spans="5:9" x14ac:dyDescent="0.3">
      <c r="E975">
        <v>974</v>
      </c>
      <c r="H975">
        <v>0</v>
      </c>
      <c r="I975">
        <v>4</v>
      </c>
    </row>
    <row r="976" spans="5:9" x14ac:dyDescent="0.3">
      <c r="E976">
        <v>975</v>
      </c>
      <c r="H976">
        <v>0</v>
      </c>
      <c r="I976">
        <v>5</v>
      </c>
    </row>
    <row r="977" spans="5:9" x14ac:dyDescent="0.3">
      <c r="E977">
        <v>976</v>
      </c>
      <c r="H977">
        <v>0</v>
      </c>
      <c r="I977">
        <v>1</v>
      </c>
    </row>
    <row r="978" spans="5:9" x14ac:dyDescent="0.3">
      <c r="E978">
        <v>977</v>
      </c>
      <c r="H978">
        <v>0</v>
      </c>
      <c r="I978">
        <v>2</v>
      </c>
    </row>
    <row r="979" spans="5:9" x14ac:dyDescent="0.3">
      <c r="E979">
        <v>978</v>
      </c>
      <c r="H979">
        <v>0</v>
      </c>
      <c r="I979">
        <v>3</v>
      </c>
    </row>
    <row r="980" spans="5:9" x14ac:dyDescent="0.3">
      <c r="E980">
        <v>979</v>
      </c>
      <c r="H980">
        <v>0</v>
      </c>
      <c r="I980">
        <v>4</v>
      </c>
    </row>
    <row r="981" spans="5:9" x14ac:dyDescent="0.3">
      <c r="E981">
        <v>980</v>
      </c>
      <c r="H981">
        <v>0</v>
      </c>
      <c r="I981">
        <v>5</v>
      </c>
    </row>
    <row r="982" spans="5:9" x14ac:dyDescent="0.3">
      <c r="E982">
        <v>981</v>
      </c>
      <c r="H982">
        <v>0</v>
      </c>
      <c r="I982">
        <v>1</v>
      </c>
    </row>
    <row r="983" spans="5:9" x14ac:dyDescent="0.3">
      <c r="E983">
        <v>982</v>
      </c>
      <c r="H983">
        <v>0</v>
      </c>
      <c r="I983">
        <v>2</v>
      </c>
    </row>
    <row r="984" spans="5:9" x14ac:dyDescent="0.3">
      <c r="E984">
        <v>983</v>
      </c>
      <c r="H984">
        <v>0</v>
      </c>
      <c r="I984">
        <v>3</v>
      </c>
    </row>
    <row r="985" spans="5:9" x14ac:dyDescent="0.3">
      <c r="E985">
        <v>984</v>
      </c>
      <c r="H985">
        <v>0</v>
      </c>
      <c r="I985">
        <v>4</v>
      </c>
    </row>
    <row r="986" spans="5:9" x14ac:dyDescent="0.3">
      <c r="E986">
        <v>985</v>
      </c>
      <c r="H986">
        <v>0</v>
      </c>
      <c r="I986">
        <v>5</v>
      </c>
    </row>
    <row r="987" spans="5:9" x14ac:dyDescent="0.3">
      <c r="E987">
        <v>986</v>
      </c>
      <c r="H987">
        <v>0</v>
      </c>
      <c r="I987">
        <v>1</v>
      </c>
    </row>
    <row r="988" spans="5:9" x14ac:dyDescent="0.3">
      <c r="E988">
        <v>987</v>
      </c>
      <c r="H988">
        <v>0</v>
      </c>
      <c r="I988">
        <v>2</v>
      </c>
    </row>
    <row r="989" spans="5:9" x14ac:dyDescent="0.3">
      <c r="E989">
        <v>988</v>
      </c>
      <c r="H989">
        <v>0</v>
      </c>
      <c r="I989">
        <v>3</v>
      </c>
    </row>
    <row r="990" spans="5:9" x14ac:dyDescent="0.3">
      <c r="E990">
        <v>989</v>
      </c>
      <c r="H990">
        <v>0</v>
      </c>
      <c r="I990">
        <v>4</v>
      </c>
    </row>
    <row r="991" spans="5:9" x14ac:dyDescent="0.3">
      <c r="E991">
        <v>990</v>
      </c>
      <c r="H991">
        <v>0</v>
      </c>
      <c r="I991">
        <v>5</v>
      </c>
    </row>
    <row r="992" spans="5:9" x14ac:dyDescent="0.3">
      <c r="E992">
        <v>991</v>
      </c>
      <c r="H992">
        <v>0</v>
      </c>
      <c r="I992">
        <v>1</v>
      </c>
    </row>
    <row r="993" spans="5:9" x14ac:dyDescent="0.3">
      <c r="E993">
        <v>992</v>
      </c>
      <c r="H993">
        <v>0</v>
      </c>
      <c r="I993">
        <v>2</v>
      </c>
    </row>
    <row r="994" spans="5:9" x14ac:dyDescent="0.3">
      <c r="E994">
        <v>993</v>
      </c>
      <c r="H994">
        <v>0</v>
      </c>
      <c r="I994">
        <v>3</v>
      </c>
    </row>
    <row r="995" spans="5:9" x14ac:dyDescent="0.3">
      <c r="E995">
        <v>994</v>
      </c>
      <c r="H995">
        <v>0</v>
      </c>
      <c r="I995">
        <v>4</v>
      </c>
    </row>
    <row r="996" spans="5:9" x14ac:dyDescent="0.3">
      <c r="E996">
        <v>995</v>
      </c>
      <c r="H996">
        <v>0</v>
      </c>
      <c r="I996">
        <v>5</v>
      </c>
    </row>
    <row r="997" spans="5:9" x14ac:dyDescent="0.3">
      <c r="E997">
        <v>996</v>
      </c>
      <c r="H997">
        <v>0</v>
      </c>
      <c r="I997">
        <v>1</v>
      </c>
    </row>
    <row r="998" spans="5:9" x14ac:dyDescent="0.3">
      <c r="E998">
        <v>997</v>
      </c>
      <c r="H998">
        <v>0</v>
      </c>
      <c r="I998">
        <v>2</v>
      </c>
    </row>
    <row r="999" spans="5:9" x14ac:dyDescent="0.3">
      <c r="E999">
        <v>998</v>
      </c>
      <c r="H999">
        <v>0</v>
      </c>
      <c r="I999">
        <v>3</v>
      </c>
    </row>
    <row r="1000" spans="5:9" x14ac:dyDescent="0.3">
      <c r="E1000">
        <v>999</v>
      </c>
      <c r="H1000">
        <v>0</v>
      </c>
      <c r="I1000">
        <v>4</v>
      </c>
    </row>
    <row r="1001" spans="5:9" x14ac:dyDescent="0.3">
      <c r="E1001">
        <v>1000</v>
      </c>
      <c r="H1001">
        <v>0</v>
      </c>
      <c r="I1001">
        <v>5</v>
      </c>
    </row>
    <row r="1002" spans="5:9" x14ac:dyDescent="0.3">
      <c r="E1002">
        <v>1001</v>
      </c>
      <c r="H1002">
        <v>0</v>
      </c>
      <c r="I1002">
        <v>1</v>
      </c>
    </row>
    <row r="1003" spans="5:9" x14ac:dyDescent="0.3">
      <c r="E1003">
        <v>1002</v>
      </c>
      <c r="H1003">
        <v>0</v>
      </c>
      <c r="I1003">
        <v>2</v>
      </c>
    </row>
    <row r="1004" spans="5:9" x14ac:dyDescent="0.3">
      <c r="E1004" t="s">
        <v>21</v>
      </c>
      <c r="F1004" t="s">
        <v>21</v>
      </c>
      <c r="G1004" t="s">
        <v>21</v>
      </c>
      <c r="H1004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055B-9CDB-4719-B71B-FC02AA154B84}">
  <dimension ref="A1:AB23"/>
  <sheetViews>
    <sheetView workbookViewId="0">
      <selection activeCell="G24" sqref="G24"/>
    </sheetView>
  </sheetViews>
  <sheetFormatPr defaultRowHeight="14.4" x14ac:dyDescent="0.3"/>
  <sheetData>
    <row r="1" spans="1:28" ht="24" thickTop="1" thickBot="1" x14ac:dyDescent="0.35">
      <c r="A1">
        <f ca="1">RANDBETWEEN(1,5)</f>
        <v>4</v>
      </c>
      <c r="B1">
        <f t="shared" ref="B1:F6" ca="1" si="0">RANDBETWEEN(1,5)</f>
        <v>1</v>
      </c>
      <c r="C1">
        <f t="shared" ca="1" si="0"/>
        <v>3</v>
      </c>
      <c r="D1">
        <f t="shared" ca="1" si="0"/>
        <v>1</v>
      </c>
      <c r="E1">
        <f t="shared" ca="1" si="0"/>
        <v>3</v>
      </c>
      <c r="F1">
        <f t="shared" ca="1" si="0"/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4" thickTop="1" thickBot="1" x14ac:dyDescent="0.35">
      <c r="A2">
        <f t="shared" ref="A2:A6" ca="1" si="1">RANDBETWEEN(1,5)</f>
        <v>4</v>
      </c>
      <c r="B2">
        <f t="shared" ca="1" si="0"/>
        <v>5</v>
      </c>
      <c r="C2">
        <f t="shared" ca="1" si="0"/>
        <v>1</v>
      </c>
      <c r="D2">
        <f t="shared" ca="1" si="0"/>
        <v>4</v>
      </c>
      <c r="E2">
        <f t="shared" ca="1" si="0"/>
        <v>5</v>
      </c>
      <c r="F2">
        <f t="shared" ca="1" si="0"/>
        <v>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" thickTop="1" thickBot="1" x14ac:dyDescent="0.35">
      <c r="A3">
        <f t="shared" ca="1" si="1"/>
        <v>2</v>
      </c>
      <c r="B3">
        <f t="shared" ca="1" si="0"/>
        <v>4</v>
      </c>
      <c r="C3">
        <f t="shared" ca="1" si="0"/>
        <v>5</v>
      </c>
      <c r="D3">
        <f t="shared" ca="1" si="0"/>
        <v>3</v>
      </c>
      <c r="E3">
        <f t="shared" ca="1" si="0"/>
        <v>2</v>
      </c>
      <c r="F3">
        <f t="shared" ca="1" si="0"/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4" thickTop="1" thickBot="1" x14ac:dyDescent="0.35">
      <c r="A4">
        <f t="shared" ca="1" si="1"/>
        <v>1</v>
      </c>
      <c r="B4">
        <f t="shared" ca="1" si="0"/>
        <v>5</v>
      </c>
      <c r="C4">
        <f t="shared" ca="1" si="0"/>
        <v>4</v>
      </c>
      <c r="D4">
        <f t="shared" ca="1" si="0"/>
        <v>5</v>
      </c>
      <c r="E4">
        <f t="shared" ca="1" si="0"/>
        <v>5</v>
      </c>
      <c r="F4">
        <f t="shared" ca="1" si="0"/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4" thickTop="1" thickBot="1" x14ac:dyDescent="0.35">
      <c r="A5">
        <f t="shared" ca="1" si="1"/>
        <v>3</v>
      </c>
      <c r="B5">
        <f t="shared" ca="1" si="0"/>
        <v>3</v>
      </c>
      <c r="C5">
        <f t="shared" ca="1" si="0"/>
        <v>2</v>
      </c>
      <c r="D5">
        <f t="shared" ca="1" si="0"/>
        <v>1</v>
      </c>
      <c r="E5">
        <f t="shared" ca="1" si="0"/>
        <v>3</v>
      </c>
      <c r="F5">
        <f t="shared" ca="1" si="0"/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thickTop="1" x14ac:dyDescent="0.3">
      <c r="A6">
        <f t="shared" ca="1" si="1"/>
        <v>4</v>
      </c>
      <c r="B6">
        <f t="shared" ca="1" si="0"/>
        <v>1</v>
      </c>
      <c r="C6">
        <f t="shared" ca="1" si="0"/>
        <v>4</v>
      </c>
      <c r="D6">
        <f t="shared" ca="1" si="0"/>
        <v>4</v>
      </c>
      <c r="E6">
        <f t="shared" ca="1" si="0"/>
        <v>3</v>
      </c>
      <c r="F6">
        <f t="shared" ca="1" si="0"/>
        <v>2</v>
      </c>
      <c r="I6">
        <v>2</v>
      </c>
      <c r="J6">
        <v>1</v>
      </c>
      <c r="K6">
        <v>5</v>
      </c>
      <c r="L6">
        <v>3</v>
      </c>
      <c r="M6">
        <v>5</v>
      </c>
      <c r="N6">
        <v>4</v>
      </c>
      <c r="O6">
        <v>2</v>
      </c>
      <c r="P6">
        <v>1</v>
      </c>
      <c r="Q6">
        <v>3</v>
      </c>
      <c r="R6">
        <v>2</v>
      </c>
      <c r="S6">
        <v>2</v>
      </c>
      <c r="T6">
        <v>3</v>
      </c>
      <c r="U6">
        <v>3</v>
      </c>
      <c r="V6">
        <v>1</v>
      </c>
      <c r="W6">
        <v>1</v>
      </c>
      <c r="X6">
        <v>2</v>
      </c>
      <c r="Y6">
        <v>1</v>
      </c>
      <c r="Z6">
        <v>5</v>
      </c>
      <c r="AA6">
        <v>5</v>
      </c>
      <c r="AB6">
        <v>1</v>
      </c>
    </row>
    <row r="8" spans="1:28" ht="15" thickBot="1" x14ac:dyDescent="0.35"/>
    <row r="9" spans="1:28" ht="24" thickTop="1" thickBot="1" x14ac:dyDescent="0.35">
      <c r="A9">
        <v>1</v>
      </c>
      <c r="B9">
        <v>5</v>
      </c>
      <c r="C9">
        <v>4</v>
      </c>
      <c r="D9">
        <v>1</v>
      </c>
      <c r="E9">
        <v>1</v>
      </c>
      <c r="F9">
        <v>2</v>
      </c>
      <c r="H9" s="1">
        <v>1</v>
      </c>
    </row>
    <row r="10" spans="1:28" ht="24" thickTop="1" thickBot="1" x14ac:dyDescent="0.35">
      <c r="A10">
        <v>5</v>
      </c>
      <c r="B10">
        <v>3</v>
      </c>
      <c r="C10">
        <v>2</v>
      </c>
      <c r="D10">
        <v>2</v>
      </c>
      <c r="E10">
        <v>1</v>
      </c>
      <c r="F10">
        <v>4</v>
      </c>
      <c r="H10" s="2">
        <v>2</v>
      </c>
    </row>
    <row r="11" spans="1:28" ht="24" thickTop="1" thickBot="1" x14ac:dyDescent="0.35">
      <c r="A11">
        <v>5</v>
      </c>
      <c r="B11">
        <v>2</v>
      </c>
      <c r="C11">
        <v>5</v>
      </c>
      <c r="D11">
        <v>5</v>
      </c>
      <c r="E11">
        <v>2</v>
      </c>
      <c r="F11">
        <v>3</v>
      </c>
      <c r="H11" s="3">
        <v>3</v>
      </c>
    </row>
    <row r="12" spans="1:28" ht="24" thickTop="1" thickBot="1" x14ac:dyDescent="0.35">
      <c r="A12">
        <v>4</v>
      </c>
      <c r="B12">
        <v>5</v>
      </c>
      <c r="C12">
        <v>1</v>
      </c>
      <c r="D12">
        <v>2</v>
      </c>
      <c r="E12">
        <v>4</v>
      </c>
      <c r="F12">
        <v>1</v>
      </c>
      <c r="H12" s="4">
        <v>4</v>
      </c>
    </row>
    <row r="13" spans="1:28" ht="24" thickTop="1" thickBot="1" x14ac:dyDescent="0.35">
      <c r="A13">
        <v>4</v>
      </c>
      <c r="B13">
        <v>5</v>
      </c>
      <c r="C13">
        <v>4</v>
      </c>
      <c r="D13">
        <v>2</v>
      </c>
      <c r="E13">
        <v>1</v>
      </c>
      <c r="F13">
        <v>2</v>
      </c>
      <c r="H13" s="5">
        <v>5</v>
      </c>
    </row>
    <row r="14" spans="1:28" ht="15" thickTop="1" x14ac:dyDescent="0.3">
      <c r="A14">
        <v>3</v>
      </c>
      <c r="B14">
        <v>4</v>
      </c>
      <c r="C14">
        <v>4</v>
      </c>
      <c r="D14">
        <v>4</v>
      </c>
      <c r="E14">
        <v>1</v>
      </c>
      <c r="F14">
        <v>1</v>
      </c>
    </row>
    <row r="17" spans="1:7" x14ac:dyDescent="0.3">
      <c r="B17" t="s">
        <v>23</v>
      </c>
      <c r="C17" t="s">
        <v>30</v>
      </c>
      <c r="D17" t="s">
        <v>31</v>
      </c>
    </row>
    <row r="18" spans="1:7" x14ac:dyDescent="0.3">
      <c r="A18" t="s">
        <v>24</v>
      </c>
      <c r="B18">
        <v>0.77</v>
      </c>
      <c r="C18">
        <v>56</v>
      </c>
      <c r="D18">
        <v>5</v>
      </c>
    </row>
    <row r="19" spans="1:7" x14ac:dyDescent="0.3">
      <c r="A19" t="s">
        <v>26</v>
      </c>
      <c r="B19">
        <v>0.05</v>
      </c>
      <c r="C19">
        <v>574</v>
      </c>
      <c r="D19">
        <v>-5</v>
      </c>
      <c r="F19" t="s">
        <v>33</v>
      </c>
    </row>
    <row r="20" spans="1:7" x14ac:dyDescent="0.3">
      <c r="A20" t="s">
        <v>25</v>
      </c>
      <c r="B20">
        <v>0.41099999999999998</v>
      </c>
      <c r="C20">
        <v>315</v>
      </c>
      <c r="D20">
        <v>0</v>
      </c>
      <c r="F20">
        <f>B21/D21</f>
        <v>7.1999999999999995E-2</v>
      </c>
      <c r="G20" t="s">
        <v>34</v>
      </c>
    </row>
    <row r="21" spans="1:7" x14ac:dyDescent="0.3">
      <c r="A21" t="s">
        <v>32</v>
      </c>
      <c r="B21">
        <f>B18-B19</f>
        <v>0.72</v>
      </c>
      <c r="C21">
        <f>C18-C19</f>
        <v>-518</v>
      </c>
      <c r="D21">
        <f>D18-D19</f>
        <v>10</v>
      </c>
    </row>
    <row r="22" spans="1:7" x14ac:dyDescent="0.3">
      <c r="F22" t="s">
        <v>35</v>
      </c>
    </row>
    <row r="23" spans="1:7" x14ac:dyDescent="0.3">
      <c r="F23">
        <f>C21/D21</f>
        <v>-51.8</v>
      </c>
      <c r="G23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Martel</dc:creator>
  <cp:lastModifiedBy>Dan Martel</cp:lastModifiedBy>
  <dcterms:created xsi:type="dcterms:W3CDTF">2025-11-12T20:10:19Z</dcterms:created>
  <dcterms:modified xsi:type="dcterms:W3CDTF">2025-11-15T19:52:09Z</dcterms:modified>
</cp:coreProperties>
</file>